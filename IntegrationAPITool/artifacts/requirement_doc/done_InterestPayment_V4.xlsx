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asrivas3\git\remote_agent\IntegrationAPITool\artifacts\requirement_doc\"/>
    </mc:Choice>
  </mc:AlternateContent>
  <xr:revisionPtr revIDLastSave="0" documentId="13_ncr:1_{A4F0DF37-5AC3-4F85-AD54-4205BA4FAE3A}" xr6:coauthVersionLast="47" xr6:coauthVersionMax="47" xr10:uidLastSave="{00000000-0000-0000-0000-000000000000}"/>
  <bookViews>
    <workbookView xWindow="-120" yWindow="-120" windowWidth="29040" windowHeight="15720" tabRatio="736" firstSheet="1" activeTab="8" xr2:uid="{8CA9F380-F4A4-46F0-8E8E-A76D9066CD93}"/>
  </bookViews>
  <sheets>
    <sheet name="Index" sheetId="37" r:id="rId1"/>
    <sheet name="VersionHistory" sheetId="61" r:id="rId2"/>
    <sheet name="Create" sheetId="36" r:id="rId3"/>
    <sheet name="Sheet1" sheetId="59" state="hidden" r:id="rId4"/>
    <sheet name="Update" sheetId="54" r:id="rId5"/>
    <sheet name="Cancel" sheetId="56" r:id="rId6"/>
    <sheet name="Delete" sheetId="57" r:id="rId7"/>
    <sheet name="Search" sheetId="55" r:id="rId8"/>
    <sheet name="GetByID" sheetId="58" r:id="rId9"/>
    <sheet name="OutOfScope" sheetId="62" r:id="rId10"/>
    <sheet name="Loan Change Transaction" sheetId="31" state="hidden" r:id="rId11"/>
  </sheets>
  <externalReferences>
    <externalReference r:id="rId12"/>
  </externalReferences>
  <definedNames>
    <definedName name="_xlnm._FilterDatabase" localSheetId="2" hidden="1">Create!$A$6:$P$28</definedName>
    <definedName name="_xlnm._FilterDatabase" localSheetId="10" hidden="1">'Loan Change Transaction'!$A$8:$N$137</definedName>
    <definedName name="_xlnm._FilterDatabase" localSheetId="4" hidden="1">Update!$A$6:$P$29</definedName>
    <definedName name="_Hlk86385617" localSheetId="6">Delete!#REF!</definedName>
    <definedName name="_Hlk86385617" localSheetId="10">'Loan Change Transaction'!#REF!</definedName>
    <definedName name="_Toc139059209" localSheetId="2">Create!$B$24</definedName>
    <definedName name="_Toc139059209" localSheetId="4">Update!$B$25</definedName>
    <definedName name="_Toc81484211" localSheetId="9">OutOfScope!$A$15</definedName>
    <definedName name="_Toc81484212" localSheetId="9">OutOfScope!$A$16</definedName>
    <definedName name="_Toc81484213" localSheetId="9">OutOfScope!$A$17</definedName>
    <definedName name="_Toc81484214" localSheetId="9">OutOfScope!$A$18</definedName>
    <definedName name="_Toc81484215" localSheetId="9">OutOfScope!$A$19</definedName>
    <definedName name="actualExpiryDate3256" localSheetId="6">Delete!#REF!</definedName>
    <definedName name="actualExpiryDate3256" localSheetId="10">'Loan Change Transaction'!#REF!</definedName>
    <definedName name="BorrowerObjectIdentifier" localSheetId="6">Delete!#REF!</definedName>
    <definedName name="BorrowerObjectIdentifier" localSheetId="10">'Loan Change Transaction'!#REF!</definedName>
    <definedName name="BorrowerRI2" localSheetId="2">Create!#REF!</definedName>
    <definedName name="BorrowerRI2" localSheetId="4">Update!#REF!</definedName>
    <definedName name="effective_date" localSheetId="6">Delete!#REF!</definedName>
    <definedName name="effective_date" localSheetId="10">'Loan Change Transaction'!#REF!</definedName>
    <definedName name="feePaidByCustomerXID3256" localSheetId="6">Delete!#REF!</definedName>
    <definedName name="feePaidByCustomerXID3256" localSheetId="10">'Loan Change Transaction'!#REF!</definedName>
    <definedName name="feePaidByLocationCode3256" localSheetId="6">Delete!#REF!</definedName>
    <definedName name="feePaidByLocationCode3256" localSheetId="10">'Loan Change Transaction'!#REF!</definedName>
    <definedName name="feePaidByProfileType3256" localSheetId="6">Delete!#REF!</definedName>
    <definedName name="feePaidByProfileType3256" localSheetId="10">'Loan Change Transaction'!#REF!</definedName>
    <definedName name="feePaidByServicingGroupAlias3256" localSheetId="6">Delete!#REF!</definedName>
    <definedName name="feePaidByServicingGroupAlias3256" localSheetId="10">'Loan Change Transaction'!#REF!</definedName>
    <definedName name="GA7610_2" localSheetId="2">Create!$F$19</definedName>
    <definedName name="GA7610_2" localSheetId="4">Update!#REF!</definedName>
    <definedName name="GA7610_3" localSheetId="2">Create!$F$20</definedName>
    <definedName name="GA7610_3" localSheetId="4">Update!#REF!</definedName>
    <definedName name="nonCashPrincipalPaydown1" localSheetId="2">Create!#REF!</definedName>
    <definedName name="nonCashPrincipalPaydown1" localSheetId="4">Update!#REF!</definedName>
    <definedName name="originalExpiryDate3256" localSheetId="6">Delete!#REF!</definedName>
    <definedName name="originalExpiryDate3256" localSheetId="10">'Loan Change Transaction'!#REF!</definedName>
    <definedName name="ProfTypeUpd3465" localSheetId="6">Delete!#REF!</definedName>
    <definedName name="ProfTypeUpd3465" localSheetId="10">'Loan Change Transaction'!#REF!</definedName>
    <definedName name="transactionDate1" localSheetId="2">Create!$F$12</definedName>
    <definedName name="transactionDate1" localSheetId="4">Update!#REF!</definedName>
    <definedName name="useDistributionList3256" localSheetId="6">Delete!#REF!</definedName>
    <definedName name="useDistributionList3256" localSheetId="10">'Loan Change Transaction'!#REF!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5" l="1"/>
  <c r="A27" i="55" s="1"/>
  <c r="A28" i="55" s="1"/>
  <c r="A29" i="55" s="1"/>
  <c r="A30" i="55" s="1"/>
  <c r="A31" i="55" s="1"/>
  <c r="A32" i="55" s="1"/>
  <c r="A33" i="55" s="1"/>
  <c r="A34" i="55" s="1"/>
  <c r="A35" i="55" s="1"/>
  <c r="A36" i="55" s="1"/>
  <c r="A37" i="55" s="1"/>
  <c r="A38" i="55" s="1"/>
  <c r="A39" i="55" s="1"/>
  <c r="A40" i="55" s="1"/>
  <c r="A41" i="55" s="1"/>
  <c r="A42" i="55" s="1"/>
  <c r="A43" i="55" s="1"/>
  <c r="A5" i="55" a="1"/>
  <c r="A5" i="55" l="1"/>
  <c r="D7" i="61" l="1"/>
  <c r="D6" i="61"/>
  <c r="D5" i="61"/>
  <c r="A8" i="54" a="1"/>
  <c r="A6" i="55" a="1"/>
  <c r="A8" i="36" a="1"/>
  <c r="A6" i="55" l="1"/>
  <c r="A8" i="54"/>
  <c r="A8" i="36"/>
  <c r="A13" i="62"/>
  <c r="A7" i="55" a="1"/>
  <c r="A9" i="36" a="1"/>
  <c r="A9" i="54" a="1"/>
  <c r="A7" i="55" l="1"/>
  <c r="A9" i="54"/>
  <c r="A9" i="36"/>
  <c r="A10" i="54" a="1"/>
  <c r="A10" i="36" a="1"/>
  <c r="A8" i="55" a="1"/>
  <c r="A8" i="55" l="1"/>
  <c r="A10" i="54"/>
  <c r="A10" i="36"/>
  <c r="A4" i="37"/>
  <c r="A5" i="37"/>
  <c r="A6" i="37"/>
  <c r="A7" i="37" s="1"/>
  <c r="A3" i="37"/>
  <c r="A9" i="58"/>
  <c r="A12" i="56"/>
  <c r="A11" i="36" a="1"/>
  <c r="A9" i="55" a="1"/>
  <c r="A11" i="54" a="1"/>
  <c r="A9" i="55" l="1"/>
  <c r="A11" i="54"/>
  <c r="A11" i="36"/>
  <c r="A10" i="58"/>
  <c r="A11" i="58" s="1"/>
  <c r="A12" i="58" s="1"/>
  <c r="A13" i="58" s="1"/>
  <c r="A14" i="58" s="1"/>
  <c r="A15" i="58" s="1"/>
  <c r="A16" i="58" s="1"/>
  <c r="A26" i="54"/>
  <c r="A27" i="54" s="1"/>
  <c r="A28" i="54" s="1"/>
  <c r="A15" i="57"/>
  <c r="A16" i="57" s="1"/>
  <c r="A11" i="56"/>
  <c r="A25" i="36"/>
  <c r="A26" i="36" s="1"/>
  <c r="A27" i="36" s="1"/>
  <c r="A10" i="3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0" i="31" s="1"/>
  <c r="A41" i="31" s="1"/>
  <c r="A42" i="31" s="1"/>
  <c r="A43" i="31" s="1"/>
  <c r="A44" i="31" s="1"/>
  <c r="A45" i="31" s="1"/>
  <c r="A46" i="31" s="1"/>
  <c r="A47" i="31" s="1"/>
  <c r="A48" i="31" s="1"/>
  <c r="A49" i="31" s="1"/>
  <c r="A50" i="31" s="1"/>
  <c r="A51" i="31" s="1"/>
  <c r="A52" i="31" s="1"/>
  <c r="A53" i="31" s="1"/>
  <c r="A54" i="31" s="1"/>
  <c r="A55" i="31" s="1"/>
  <c r="A56" i="31" s="1"/>
  <c r="A57" i="31" s="1"/>
  <c r="A58" i="31" s="1"/>
  <c r="A59" i="31" s="1"/>
  <c r="A60" i="31" s="1"/>
  <c r="A61" i="31" s="1"/>
  <c r="A62" i="31" s="1"/>
  <c r="A63" i="31" s="1"/>
  <c r="A64" i="31" s="1"/>
  <c r="A65" i="31" s="1"/>
  <c r="A66" i="31" s="1"/>
  <c r="A67" i="31" s="1"/>
  <c r="A68" i="31" s="1"/>
  <c r="A69" i="31" s="1"/>
  <c r="A70" i="31" s="1"/>
  <c r="A71" i="31" s="1"/>
  <c r="A72" i="31" s="1"/>
  <c r="A73" i="31" s="1"/>
  <c r="A74" i="31" s="1"/>
  <c r="A75" i="31" s="1"/>
  <c r="A76" i="31" s="1"/>
  <c r="A77" i="31" s="1"/>
  <c r="A78" i="31" s="1"/>
  <c r="A79" i="31" s="1"/>
  <c r="A80" i="31" s="1"/>
  <c r="A81" i="31" s="1"/>
  <c r="A82" i="31" s="1"/>
  <c r="A83" i="31" s="1"/>
  <c r="A84" i="31" s="1"/>
  <c r="A85" i="31" s="1"/>
  <c r="A86" i="31" s="1"/>
  <c r="A87" i="31" s="1"/>
  <c r="A88" i="31" s="1"/>
  <c r="A89" i="31" s="1"/>
  <c r="A90" i="31" s="1"/>
  <c r="A91" i="31" s="1"/>
  <c r="A92" i="31" s="1"/>
  <c r="A93" i="31" s="1"/>
  <c r="A94" i="31" s="1"/>
  <c r="A95" i="31" s="1"/>
  <c r="A96" i="31" s="1"/>
  <c r="A97" i="31" s="1"/>
  <c r="A98" i="31" s="1"/>
  <c r="A99" i="31" s="1"/>
  <c r="A100" i="31" s="1"/>
  <c r="A101" i="31" s="1"/>
  <c r="A102" i="31" s="1"/>
  <c r="A103" i="31" s="1"/>
  <c r="A104" i="31" s="1"/>
  <c r="A105" i="31" s="1"/>
  <c r="A106" i="31" s="1"/>
  <c r="A107" i="31" s="1"/>
  <c r="A108" i="31" s="1"/>
  <c r="A109" i="31" s="1"/>
  <c r="A110" i="31" s="1"/>
  <c r="A111" i="31" s="1"/>
  <c r="A112" i="31" s="1"/>
  <c r="A113" i="31" s="1"/>
  <c r="A114" i="31" s="1"/>
  <c r="A115" i="31" s="1"/>
  <c r="A116" i="31" s="1"/>
  <c r="A117" i="31" s="1"/>
  <c r="A118" i="31" s="1"/>
  <c r="A119" i="31" s="1"/>
  <c r="A120" i="31" s="1"/>
  <c r="A121" i="31" s="1"/>
  <c r="A122" i="31" s="1"/>
  <c r="A123" i="31" s="1"/>
  <c r="A124" i="31" s="1"/>
  <c r="A125" i="31" s="1"/>
  <c r="A126" i="31" s="1"/>
  <c r="A127" i="31" s="1"/>
  <c r="A128" i="31" s="1"/>
  <c r="A131" i="31"/>
  <c r="A132" i="31" s="1"/>
  <c r="A133" i="31" s="1"/>
  <c r="A134" i="31" s="1"/>
  <c r="A135" i="31" s="1"/>
  <c r="A136" i="31" s="1"/>
  <c r="A12" i="54" a="1"/>
  <c r="A10" i="55" a="1"/>
  <c r="A12" i="36" a="1"/>
  <c r="A10" i="55" l="1"/>
  <c r="A12" i="54"/>
  <c r="A12" i="36"/>
  <c r="A17" i="58"/>
  <c r="A18" i="58" s="1"/>
  <c r="A19" i="58" s="1"/>
  <c r="A20" i="58" s="1"/>
  <c r="A21" i="58" s="1"/>
  <c r="A22" i="58" s="1"/>
  <c r="A2" i="59"/>
  <c r="A3" i="59" s="1"/>
  <c r="A4" i="59" s="1"/>
  <c r="A5" i="59" s="1"/>
  <c r="A6" i="59" s="1"/>
  <c r="A7" i="59" s="1"/>
  <c r="A8" i="59"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11" i="55" a="1"/>
  <c r="A13" i="54" a="1"/>
  <c r="A13" i="36" a="1"/>
  <c r="A11" i="55" l="1"/>
  <c r="A13" i="54"/>
  <c r="A13" i="36"/>
  <c r="A24" i="58"/>
  <c r="A23" i="58"/>
  <c r="A12" i="55" a="1"/>
  <c r="A14" i="36" a="1"/>
  <c r="A14" i="54" a="1"/>
  <c r="A12" i="55" l="1"/>
  <c r="A14" i="54"/>
  <c r="A14" i="36"/>
  <c r="A12" i="62"/>
  <c r="A13" i="55" a="1"/>
  <c r="A15" i="36" a="1"/>
  <c r="A13" i="55" l="1"/>
  <c r="A15" i="36"/>
  <c r="A14" i="55" a="1"/>
  <c r="A16" i="36" a="1"/>
  <c r="A14" i="55" l="1"/>
  <c r="A16" i="36"/>
  <c r="A16" i="54" a="1"/>
  <c r="A15" i="55" a="1"/>
  <c r="A17" i="36" a="1"/>
  <c r="A15" i="55" l="1"/>
  <c r="A17" i="36"/>
  <c r="A16" i="54"/>
  <c r="A17" i="54" a="1"/>
  <c r="A18" i="36" a="1"/>
  <c r="A16" i="55" a="1"/>
  <c r="A16" i="55" l="1"/>
  <c r="A18" i="36"/>
  <c r="A17" i="54"/>
  <c r="A19" i="36" a="1"/>
  <c r="A17" i="55" a="1"/>
  <c r="A18" i="54" a="1"/>
  <c r="A17" i="55" l="1"/>
  <c r="A19" i="36"/>
  <c r="A18" i="54"/>
  <c r="A19" i="54" a="1"/>
  <c r="A18" i="55" a="1"/>
  <c r="A20" i="36" a="1"/>
  <c r="A18" i="55" l="1"/>
  <c r="A20" i="36"/>
  <c r="A19" i="54"/>
  <c r="A19" i="55" a="1"/>
  <c r="A21" i="36" a="1"/>
  <c r="A20" i="54" a="1"/>
  <c r="A19" i="55" l="1"/>
  <c r="A21" i="36"/>
  <c r="A20" i="54"/>
  <c r="A20" i="55" a="1"/>
  <c r="A21" i="54" a="1"/>
  <c r="A20" i="55" l="1"/>
  <c r="A21" i="55" s="1"/>
  <c r="A21" i="54"/>
  <c r="A22" i="54" a="1"/>
  <c r="A22" i="5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<sst xmlns="http://schemas.openxmlformats.org/spreadsheetml/2006/main" count="2688" uniqueCount="788">
  <si>
    <t>Sl. No.</t>
  </si>
  <si>
    <t>API Requirement Name</t>
  </si>
  <si>
    <t>Description</t>
  </si>
  <si>
    <t>Status</t>
  </si>
  <si>
    <t>Remarks</t>
  </si>
  <si>
    <t>Supported in SOAP currently (Y/N)</t>
  </si>
  <si>
    <t>Comments from Mukul</t>
  </si>
  <si>
    <t>Create</t>
  </si>
  <si>
    <t>Creation of a new Loan Interest Payment</t>
  </si>
  <si>
    <t>Update</t>
  </si>
  <si>
    <t>Update a Loan Interest Payment</t>
  </si>
  <si>
    <t>Cancel</t>
  </si>
  <si>
    <t>Cancel a Loan Interest Payment</t>
  </si>
  <si>
    <t>Delete</t>
  </si>
  <si>
    <t>Delete a Loan Interest Payment</t>
  </si>
  <si>
    <t>Search</t>
  </si>
  <si>
    <t>Search for a Loan Interest Payment</t>
  </si>
  <si>
    <t>Work in Progress</t>
  </si>
  <si>
    <t>GetByID</t>
  </si>
  <si>
    <t>Get details of specific  Loan Interest Payment</t>
  </si>
  <si>
    <t>Version</t>
  </si>
  <si>
    <t>Changed by</t>
  </si>
  <si>
    <t>Summary</t>
  </si>
  <si>
    <t>Date</t>
  </si>
  <si>
    <t>Romesh Kumar</t>
  </si>
  <si>
    <t>Created</t>
  </si>
  <si>
    <t>Removed Status code for Create and Update Inputs, and output of GetByID</t>
  </si>
  <si>
    <t>Akanksha</t>
  </si>
  <si>
    <t>Changed name "loanRID" to "loanId"</t>
  </si>
  <si>
    <t>Changed name "loan Alias" to "loanAlias"</t>
  </si>
  <si>
    <t>changed "Transaction RID" to loanTransactionId"</t>
  </si>
  <si>
    <t>changed "LoanInterestPayment RID" to loanTransactionId"</t>
  </si>
  <si>
    <t>Changed description in Update sheet"Required for Update call - Non Functional requirement, SYSTEM Derived and non-user updatable"</t>
  </si>
  <si>
    <t>Deleted "updateUserId" from GetById &amp; Update sheet</t>
  </si>
  <si>
    <t>Added 'CycleID' and 'applyToEarliestCycle' for Create Interest Payment</t>
  </si>
  <si>
    <t>Updating description and required field under "loanAlias" &amp; "loanId" for Create, Update &amp; GetById</t>
  </si>
  <si>
    <t>Draft Search call attributes updated</t>
  </si>
  <si>
    <t>CreateLoanInterestPayment: For creating a Loan Interest Payment</t>
  </si>
  <si>
    <t>Prerequisites</t>
  </si>
  <si>
    <t xml:space="preserve">All derivation logic &amp; validations that are currently done in ONLINE Loan IQ for this workflow item should be applicale for this API as well. </t>
  </si>
  <si>
    <t>Input</t>
  </si>
  <si>
    <t>Sl No.</t>
  </si>
  <si>
    <t>Attribute Category</t>
  </si>
  <si>
    <t>Multiple instances allowed for Attribute Category (Y/N)</t>
  </si>
  <si>
    <t>Attribute Category Required (Y/N)</t>
  </si>
  <si>
    <t>Type</t>
  </si>
  <si>
    <t>Attriute Field Name</t>
  </si>
  <si>
    <t>Data Type</t>
  </si>
  <si>
    <t>Required (Y/N)</t>
  </si>
  <si>
    <t>Description and Validation</t>
  </si>
  <si>
    <t>Default Value</t>
  </si>
  <si>
    <t>Multiple Values allowed (Y/N)</t>
  </si>
  <si>
    <t>Translation Required (Y/N)</t>
  </si>
  <si>
    <t>Translation Logic</t>
  </si>
  <si>
    <t>Code Table</t>
  </si>
  <si>
    <t>Questions?</t>
  </si>
  <si>
    <t xml:space="preserve">Attribute Existing in SOAP API  (Y/N) </t>
  </si>
  <si>
    <t>Present in TRANSACT?</t>
  </si>
  <si>
    <t>requestedAmount</t>
  </si>
  <si>
    <t>Alphanumeric</t>
  </si>
  <si>
    <t>Y</t>
  </si>
  <si>
    <t>The requested amount of the Interest Payment.
This amount includes the Global amount and the SLM host bank share amount as well as the customer external ID identifying the host bank customer.
Validation: The Requested Amount may be greater than or less than the remaining cycle due. Where a cycle due amount exists, the System pro-rates the cycle due amount to determine the interest payment. If the Requested Amount is less than the cycle due amount, then a cycle due amount remains. If the Requested Amount is greater than the cycle due amount, the overpayment is applied to the cycle.
Where no cycle due amount exists, the System pro-rates the payment using the Lender shares of the loan against the interest payment being applied. Portfolio shares for payment are based on Prorata shares of the original payment.</t>
  </si>
  <si>
    <t>N</t>
  </si>
  <si>
    <t>effectiveDate</t>
  </si>
  <si>
    <t>The effective date of the Interest Payment transaction.
Validation: For a Loan, the transaction effective date cannot be prior to the Loan Effective Date, Facility Effective Date, or the Borrower Effective Date.
For a Standalone Loan, the transaction Effective Date cannot be prior to the Standalone Loan Effective Date or the Product Model Effective Date.
Future value dated transactions are allowed.</t>
  </si>
  <si>
    <t>loanAlias</t>
  </si>
  <si>
    <r>
      <rPr>
        <b/>
        <sz val="11"/>
        <color theme="1"/>
        <rFont val="Calibri"/>
        <family val="2"/>
        <scheme val="minor"/>
      </rPr>
      <t>Conditionally Required</t>
    </r>
    <r>
      <rPr>
        <sz val="11"/>
        <color theme="1"/>
        <rFont val="Calibri"/>
        <family val="2"/>
        <scheme val="minor"/>
      </rPr>
      <t xml:space="preserve">
The unique client-defined name for the outstanding.
Validation: Must be unique within Bank. If LOALI system parameter is set to CSN or CID, this will be generated from first 10 characters of the Customer Short Name or Customer ID, respectively. If LOALI system parameter is blank, this will be system-generated from RID algorithm.
Validation: Either of the Alias or RID can be passed, but at least one must be present.  If both are passed then both should point to same Loan object</t>
    </r>
  </si>
  <si>
    <t>loanId</t>
  </si>
  <si>
    <r>
      <rPr>
        <b/>
        <sz val="11"/>
        <color theme="1"/>
        <rFont val="Calibri"/>
        <family val="2"/>
        <scheme val="minor"/>
      </rPr>
      <t>Conditionally Required</t>
    </r>
    <r>
      <rPr>
        <sz val="11"/>
        <color theme="1"/>
        <rFont val="Calibri"/>
        <family val="2"/>
        <scheme val="minor"/>
      </rPr>
      <t xml:space="preserve">
Unique loanId. 
Validation: Either of the Alias or RID can be passed, but at least one must be present.  If both are passed then both should point to same Loan object</t>
    </r>
  </si>
  <si>
    <t>cycleStartDate</t>
  </si>
  <si>
    <t>The Start Date of the cycle for which Interest is being paid. 
Validation: Must match the Start Date of an Interest Cycle that exists for the Loan/Standalone Loan.</t>
  </si>
  <si>
    <t xml:space="preserve">transactionDate </t>
  </si>
  <si>
    <t>The date the institution that services the loan receives the Borrower’s monthly installment. This institution is required to report this date to the client.
Validation: This functionality is applicable only when system parameter ITDPY – Include Transaction Date in Payments is set to Y.</t>
  </si>
  <si>
    <t>eventComment</t>
  </si>
  <si>
    <t>A description of the event.</t>
  </si>
  <si>
    <t>preventOnlineDeletionIndicator</t>
  </si>
  <si>
    <t>Boolean</t>
  </si>
  <si>
    <t>Prevents the user from deleting the loan.</t>
  </si>
  <si>
    <t>transactionDescription</t>
  </si>
  <si>
    <t>The description of the transaction.</t>
  </si>
  <si>
    <t>prorationTypeCode</t>
  </si>
  <si>
    <t>This field is used to select the cycle due or projected EOC due amount through API. The valid values are –
•	PCYCD: Projected Cycle Due
•	PNDCD: Projected Cycle Due With Pending
•	CYCLD: Cycle Due
•	ATLCD: Adjusted Cycle Due Thru Last Night
•	ATTCD: Adjusted Cycle Due Thru Tonight
•	LNDSH: Lender Shares (Prepay Cycle)
 •	INTPP (Pro Rate based on Principal) and INPPP (Pro Rate Shares Based on Partial Principal Prepayment
Notes: If the Proration Type is blank, then the system considers – 
•	The Cycle Due for non-zero Borrower Accrual Cycle due amount, and
•	Lender Shares (Prepay Cycle) for the zero Borrower Accrual Cycle due amount.</t>
  </si>
  <si>
    <t>Proration Type</t>
  </si>
  <si>
    <t>cycleId</t>
  </si>
  <si>
    <t>Used to Identify the cycle</t>
  </si>
  <si>
    <t>applyToEarliestCycle</t>
  </si>
  <si>
    <t>Boolean Parameter to identify if this should be applied to the earliest cycle or not</t>
  </si>
  <si>
    <t>smeSystemSourceId</t>
  </si>
  <si>
    <t>This attribute allows user to define the Source System in the Source System ID code table and use the same for mapping of transactions based on the Source System.</t>
  </si>
  <si>
    <t>Default value is "Blank"</t>
  </si>
  <si>
    <t>codeTable=Source System ID</t>
  </si>
  <si>
    <t>sourceRefNum</t>
  </si>
  <si>
    <t>This attribute allows the user to define the Source Reference Number at the transaction level, so that the same is taken into considering when processing the transaction.</t>
  </si>
  <si>
    <t>principalPaymentAmount</t>
  </si>
  <si>
    <t>Numeric</t>
  </si>
  <si>
    <t>Conditional</t>
  </si>
  <si>
    <t>Attribute for Principal Payment Amount for INTPP (Pro Rate based on Principal) and INPPP (Pro Rate Shares Based on Partial Principal Prepayment) proration type code.
Notes:
•	The requestedAmount attribute is not mandatory for INTPP and INPPP proration types.
•	If the user enters principalPaymentAmount and requestedAmount for the INTPP/INPPP, then requestedAmount is taken into consideration.
•	If principalPaymentAmount and requestedAmount value is not provided for INTPP/INPPP, then the following error message is displayed:
Principal Payment Amount is required with this Proration Type Code 
•	If the user enters principalPaymentAmount for any other proration types other than INTPP and INPPP, then the following message is displayed:
Principal Payment Amount is not required with this Proration Type Code</t>
  </si>
  <si>
    <t>OUTPUT</t>
  </si>
  <si>
    <t>OutstandingTransactionAsReturnValue</t>
  </si>
  <si>
    <t>Success</t>
  </si>
  <si>
    <t>True/False</t>
  </si>
  <si>
    <t>Message</t>
  </si>
  <si>
    <t>(List of) output message</t>
  </si>
  <si>
    <t>loanTransactionId</t>
  </si>
  <si>
    <t>Unique ID of the Loan Transaction processed</t>
  </si>
  <si>
    <t>updateTimeStamp</t>
  </si>
  <si>
    <t>Date/Time</t>
  </si>
  <si>
    <t>Timestamp of action processed in Loan IQ</t>
  </si>
  <si>
    <t>Back to Index</t>
  </si>
  <si>
    <t>&lt;TweakedShares&gt;&lt;TweakedServicingGroupShare&gt;</t>
  </si>
  <si>
    <t>amount</t>
  </si>
  <si>
    <t>The amount of the Servicing Group Share.</t>
  </si>
  <si>
    <t>lenderExternalId</t>
  </si>
  <si>
    <t>External ID of the customer.</t>
  </si>
  <si>
    <t>servicingGroupAlias</t>
  </si>
  <si>
    <t>The Servicing Group Alias pertaining to the customer. 
Validation: A valid Servicing Group Alias for the customer whose ID is passed in the lenderExternalId field must be passed in this field.</t>
  </si>
  <si>
    <t>&lt;TweakedShares&gt;&lt;TweakedServicingGroupSkimShare&gt;</t>
  </si>
  <si>
    <t>The Amount of the Servicing Group Skim Share.</t>
  </si>
  <si>
    <t>skimRate</t>
  </si>
  <si>
    <t>The Skim Rate of the Servicing Group Share.</t>
  </si>
  <si>
    <t>&lt;TweakedShares&gt;&lt;TweakedParticipationShare&gt;</t>
  </si>
  <si>
    <t>Amount of the participation share</t>
  </si>
  <si>
    <t>participationAgreementId</t>
  </si>
  <si>
    <t>Participation Agreement ID</t>
  </si>
  <si>
    <t>&lt;TweakedShares&gt;&lt;TweakedParticipationSkimShare&gt;</t>
  </si>
  <si>
    <t>Amount of the Participation skim share</t>
  </si>
  <si>
    <t>The Skim Rate of the Participation.</t>
  </si>
  <si>
    <t>&lt;TweakedShares&gt;&lt;TweakedPortfolioShare&gt;</t>
  </si>
  <si>
    <t>Amount of the Portfolio Share
Validation:
If the Portfolio Loan Subsidy Share does not have an allocation for a specific bucket, passing an amount for that bucket causes the API to fail. If the Portfolio Loan Subsidy Share has an allocation for that funding amount bucket and the amount passed is greater than the allocation, the API fails.</t>
  </si>
  <si>
    <t>branchCode</t>
  </si>
  <si>
    <t>Branch Code
Validations: Must be part of an existing Branch/Portfolio/Expense code combination for the Portfolio Share.</t>
  </si>
  <si>
    <t>codeTable: Branch</t>
  </si>
  <si>
    <t>expenseCode</t>
  </si>
  <si>
    <t>Expense Code
Validation: Must be part of an existing Branch/Portfolio/Expense code combination for the Portfolio Share</t>
  </si>
  <si>
    <t>codeTable: Expense</t>
  </si>
  <si>
    <t>portfolioCode</t>
  </si>
  <si>
    <t>Portfolio Code
Validations:
Must be an active portfolio on the portfolio table.
Must be part of an existing Branch/Portfolio/Expense code combination for the Portfolio Share.</t>
  </si>
  <si>
    <t>codeTable: Portfolio</t>
  </si>
  <si>
    <t>amountNetAll</t>
  </si>
  <si>
    <t>Amount Net All
The net all amount of the Tweaked Portfolio Share.</t>
  </si>
  <si>
    <t>CustomRemittanceInstruction</t>
  </si>
  <si>
    <t>messageID</t>
  </si>
  <si>
    <t>The message ID of the notification.</t>
  </si>
  <si>
    <t>description</t>
  </si>
  <si>
    <r>
      <t>Description of the Remittance Instruction
Validation:</t>
    </r>
    <r>
      <rPr>
        <sz val="9"/>
        <color rgb="FF414141"/>
        <rFont val="Roboto"/>
      </rPr>
      <t xml:space="preserve"> Must be unique within the specified Profile/Location.</t>
    </r>
  </si>
  <si>
    <t>Custom</t>
  </si>
  <si>
    <t>attention</t>
  </si>
  <si>
    <r>
      <t xml:space="preserve">Required if Method is </t>
    </r>
    <r>
      <rPr>
        <i/>
        <sz val="9"/>
        <color rgb="FF414141"/>
        <rFont val="Roboto"/>
      </rPr>
      <t>Interdepartmental Transfer (IDTS)</t>
    </r>
    <r>
      <rPr>
        <sz val="9"/>
        <color rgb="FF414141"/>
        <rFont val="Roboto"/>
      </rPr>
      <t>, otherwise not applicable. Free form entry.</t>
    </r>
  </si>
  <si>
    <t>autoDoIt</t>
  </si>
  <si>
    <r>
      <t>Validations:</t>
    </r>
    <r>
      <rPr>
        <sz val="9"/>
        <color rgb="FF414141"/>
        <rFont val="Roboto"/>
      </rPr>
      <t xml:space="preserve"> Not available if Remittance Instructions are </t>
    </r>
    <r>
      <rPr>
        <i/>
        <sz val="9"/>
        <color rgb="FF414141"/>
        <rFont val="Roboto"/>
      </rPr>
      <t>Check</t>
    </r>
    <r>
      <rPr>
        <sz val="9"/>
        <color rgb="FF414141"/>
        <rFont val="Roboto"/>
      </rPr>
      <t xml:space="preserve"> or </t>
    </r>
    <r>
      <rPr>
        <i/>
        <sz val="9"/>
        <color rgb="FF414141"/>
        <rFont val="Roboto"/>
      </rPr>
      <t>Interdepartmental Transfer (IDTS)</t>
    </r>
    <r>
      <rPr>
        <sz val="9"/>
        <color rgb="FF414141"/>
        <rFont val="Roboto"/>
      </rPr>
      <t xml:space="preserve">. Defaults to </t>
    </r>
    <r>
      <rPr>
        <b/>
        <sz val="9"/>
        <color rgb="FF414141"/>
        <rFont val="Roboto"/>
      </rPr>
      <t>No</t>
    </r>
    <r>
      <rPr>
        <sz val="9"/>
        <color rgb="FF414141"/>
        <rFont val="Roboto"/>
      </rPr>
      <t xml:space="preserve">. When </t>
    </r>
    <r>
      <rPr>
        <b/>
        <sz val="9"/>
        <color rgb="FF414141"/>
        <rFont val="Roboto"/>
      </rPr>
      <t>Yes</t>
    </r>
    <r>
      <rPr>
        <sz val="9"/>
        <color rgb="FF414141"/>
        <rFont val="Roboto"/>
      </rPr>
      <t xml:space="preserve">, all cashflows associated with this transaction are automatically flagged as </t>
    </r>
    <r>
      <rPr>
        <i/>
        <sz val="9"/>
        <color rgb="FF414141"/>
        <rFont val="Roboto"/>
      </rPr>
      <t>Do It</t>
    </r>
    <r>
      <rPr>
        <sz val="9"/>
        <color rgb="FF414141"/>
        <rFont val="Roboto"/>
      </rPr>
      <t xml:space="preserve"> when created so that they are automatically released when the transaction is released. If the Payment Method and Direction noted in the Remittance Instruction indicates that the instruction can be used only for some type of incoming money transfer, then the </t>
    </r>
    <r>
      <rPr>
        <i/>
        <sz val="9"/>
        <color rgb="FF414141"/>
        <rFont val="Roboto"/>
      </rPr>
      <t>Auto Do It</t>
    </r>
    <r>
      <rPr>
        <sz val="9"/>
        <color rgb="FF414141"/>
        <rFont val="Roboto"/>
      </rPr>
      <t xml:space="preserve"> feature does not apply, and the </t>
    </r>
    <r>
      <rPr>
        <i/>
        <sz val="9"/>
        <color rgb="FF414141"/>
        <rFont val="Roboto"/>
      </rPr>
      <t>Auto Do It</t>
    </r>
    <r>
      <rPr>
        <sz val="9"/>
        <color rgb="FF414141"/>
        <rFont val="Roboto"/>
      </rPr>
      <t xml:space="preserve"> indicator is disabled.</t>
    </r>
  </si>
  <si>
    <t>remittanceMethod</t>
  </si>
  <si>
    <t>Remittance Method Type
Notes:
•	Book Transfer is not available to a customer who is a Host Bank Legal Entity.
•	While cashflows between Host Bank Lenders are limited to IDDA (Interco/DDA), cashflows for Host Bank Borrowers cannot be Interco/DDA, but may use the regular DDA payment method.
•	Check is allowed for Host Bank Remittance Instruction. For incoming cashflows (from borrowers and lenders) that are Fed, Local Clearing, and Check, the system looks for the first Host Bank Remittance Instruction in the Facility main SG that has the same Payment Method and picks up the Host Bank ABA # or check address and prints it on the fax (or borrower bill).</t>
  </si>
  <si>
    <t>Remittance Instruction Method – ACH</t>
  </si>
  <si>
    <t>achAcctName</t>
  </si>
  <si>
    <t>Automated Clearing House Account Name.</t>
  </si>
  <si>
    <t>achAcctNumber</t>
  </si>
  <si>
    <t>Automated Clear House Account Number.</t>
  </si>
  <si>
    <t>achNumber</t>
  </si>
  <si>
    <t>American Bankers Association Number
Required to save. The value passed must be among the active codes maintained in online Loan IQ.</t>
  </si>
  <si>
    <t>codeTable: Federal American Bankers</t>
  </si>
  <si>
    <t>Remittance Instruction Method – Book Transfer</t>
  </si>
  <si>
    <t>bookTransferAccountNumber</t>
  </si>
  <si>
    <t>Book Transfer Account Number
Required to save.</t>
  </si>
  <si>
    <t>bankToBankInstructions</t>
  </si>
  <si>
    <t>beneficiaryType</t>
  </si>
  <si>
    <t>Beneficiary Type.
Required to save.</t>
  </si>
  <si>
    <t>codeTable: Beneficiary Type</t>
  </si>
  <si>
    <t>beneficiaryInformation</t>
  </si>
  <si>
    <t>Beneficiary Information.
Required to save.</t>
  </si>
  <si>
    <t>Remittance Instruction Method – Check</t>
  </si>
  <si>
    <t>addressInstructions</t>
  </si>
  <si>
    <t>Required to save.</t>
  </si>
  <si>
    <t>Remittance Instruction Method – DDA</t>
  </si>
  <si>
    <t>ddaAccountName</t>
  </si>
  <si>
    <t>DDA Account Name.</t>
  </si>
  <si>
    <t>ddaAccountId</t>
  </si>
  <si>
    <t>DDA Account Number.</t>
  </si>
  <si>
    <t>Remittance Instruction Method – Federal Reserve</t>
  </si>
  <si>
    <t>abaNumber</t>
  </si>
  <si>
    <t>American Bankers Association Number.
Validation: Required to save. The value must be among the active codes maintained in online Loan IQ.</t>
  </si>
  <si>
    <t>codeTable: Federal American Bankers Association</t>
  </si>
  <si>
    <t>Bank to Bank Instructions</t>
  </si>
  <si>
    <t>beneficiaryAccount</t>
  </si>
  <si>
    <t>Beneficiary Account Number
Validation: Required to save.</t>
  </si>
  <si>
    <t>Beneficiary Type
Validation: Required to save.</t>
  </si>
  <si>
    <t>Remittance Instruction Method – IMT</t>
  </si>
  <si>
    <t>At least one IMT message is to be selected from the list of available messages. Required to save.</t>
  </si>
  <si>
    <t>imtThreshold</t>
  </si>
  <si>
    <t xml:space="preserve">Notice To Receive Threshold.
Threshold amount, which is the minimum value of the transaction for which an MT210-Notice to Receive is required. Amount is displayed in the currency of the Remittance Instruction. </t>
  </si>
  <si>
    <t>Defaults to 0.00.</t>
  </si>
  <si>
    <t>useSendersCorrespondentForReceiver</t>
  </si>
  <si>
    <t>Use Senders Correspondent For Receiver
Only applicable to Non-Host Bank IMT Messages.</t>
  </si>
  <si>
    <t>imtFaxText</t>
  </si>
  <si>
    <t>IMT Fax Text
Summary for Notices.</t>
  </si>
  <si>
    <t>Remittance Instruction Method – Local Clearing</t>
  </si>
  <si>
    <t>clearingNumber</t>
  </si>
  <si>
    <t>Local Clearing Number
Required to save.</t>
  </si>
  <si>
    <t>codeTable: Local Clearing Number</t>
  </si>
  <si>
    <t>chipsUID</t>
  </si>
  <si>
    <t>Local Clearing UID</t>
  </si>
  <si>
    <t>Beneficiary Account Number
Required to save.</t>
  </si>
  <si>
    <t>Beneficiary Type
Required to save.</t>
  </si>
  <si>
    <t>Remittance Instruction Method – Nostro</t>
  </si>
  <si>
    <t>nostroAccountNumber</t>
  </si>
  <si>
    <t>Nostro Account Number
Required to save.</t>
  </si>
  <si>
    <t>Beneficiary Information
Required to save.</t>
  </si>
  <si>
    <t>nostroPaymentNotificationType</t>
  </si>
  <si>
    <t>Advice Type
Indicates whether the notification type is SWIFT or Telex.</t>
  </si>
  <si>
    <t>swiftBankIdentificationCode</t>
  </si>
  <si>
    <t>Swift Bank Identification Code
Required if SWIFT Advice is selected.</t>
  </si>
  <si>
    <t>codeTable: Swift Bank ID</t>
  </si>
  <si>
    <t>telexDialDigits</t>
  </si>
  <si>
    <t>Telex Dial Digits
Required if Telex is selected.</t>
  </si>
  <si>
    <t>telexAnswerBack</t>
  </si>
  <si>
    <t xml:space="preserve">Telex Answer Back
Required if Telex is selected. User may enter a free-form Answer Bank # which is not validated. </t>
  </si>
  <si>
    <t>Remittance Instruction Method – SWIFT</t>
  </si>
  <si>
    <t>Use Senders Correspondent For Receiver
Only applicable to Non-Host Bank IMT Messages. User must either check Use Senders Correspondent for Receiver Indicator or Receiver must be defined.
Validations: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</si>
  <si>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instructionCode</t>
  </si>
  <si>
    <t xml:space="preserve">Instruction Code
Applicable only to MT104. </t>
  </si>
  <si>
    <t>codeTable: Swift Instruction Code</t>
  </si>
  <si>
    <t>otherInstructions</t>
  </si>
  <si>
    <t>Other Instructions
Applicable only to MT104, and is required when instructionCode is Other.</t>
  </si>
  <si>
    <t>registrationReference</t>
  </si>
  <si>
    <t xml:space="preserve">Registration Reference
Applicable only to MT104. </t>
  </si>
  <si>
    <t>detailsOfChargesCode</t>
  </si>
  <si>
    <t>Details of Charges Code
Applicable only to MT100, MT103. Drop down list contains 3 choices: Beneficiary Customer, Ordering Customer and Shared.</t>
  </si>
  <si>
    <t>codeTable: Details Of Charges</t>
  </si>
  <si>
    <t>detailsOfPayment</t>
  </si>
  <si>
    <t xml:space="preserve">Details of Payment
Applicable only to MT100, MT104, MT202, and MT210. </t>
  </si>
  <si>
    <t>narrative</t>
  </si>
  <si>
    <t>Narrative
Applicable only to MT199, MT299, TLXNR, and TLXPA.</t>
  </si>
  <si>
    <t>senderToReceiverInformation</t>
  </si>
  <si>
    <t>Sender to Receiver Information.</t>
  </si>
  <si>
    <t>Remittance Instruction Method – TELEX</t>
  </si>
  <si>
    <t>Description of the Remittance Instruction
Default value is Custom. Can be modified the user. 
Validation: Must be unique within the specified Profile/Location.</t>
  </si>
  <si>
    <t>telexNumber</t>
  </si>
  <si>
    <t>Telex Number.</t>
  </si>
  <si>
    <t>answerBack</t>
  </si>
  <si>
    <t>Answer Back.</t>
  </si>
  <si>
    <t>Narrative</t>
  </si>
  <si>
    <t>&lt;CustomRemittanceInstruction&gt;&lt;IMTRemittanceInstructionMessage&gt;</t>
  </si>
  <si>
    <t>Answer Back
User may enter a free-form Answer Bank # which is not validated.</t>
  </si>
  <si>
    <t>bankOperationCode</t>
  </si>
  <si>
    <t>Bank Operation Code
Applicable only to MT103.</t>
  </si>
  <si>
    <t>codeTable: Bank Operation Code</t>
  </si>
  <si>
    <t>Description of the Remittance Instruction
Defaults to Custom. Can be modified by the user. 
Validation: Must be unique within the specified Profile/Location.</t>
  </si>
  <si>
    <t>Details of Charges Code
Applicable only to MT100, MT103. Online drop down list contains three choices: Beneficiary Customer, Ordering Customer, and Shared.</t>
  </si>
  <si>
    <t>Details of Payment
Applicable only to MT100, MT104, MT202, and MT210l.</t>
  </si>
  <si>
    <t>Instruction Code
Applicable only to MT104.</t>
  </si>
  <si>
    <t>Narrative
Applicable only to MT199, MT299, TLXNR, and TLXPA, and is optional. Free form text field of 35 lines and 50 characters per line.</t>
  </si>
  <si>
    <t>orderingCustomer</t>
  </si>
  <si>
    <t>Ordering Customer</t>
  </si>
  <si>
    <t xml:space="preserve">Other Instructions
Applicable only to MT104. This is required when instructionCode is Other. </t>
  </si>
  <si>
    <t>Sender to Receiver Information</t>
  </si>
  <si>
    <t>swiftMessageType</t>
  </si>
  <si>
    <t>Swift Message Type
Must be a valid message type.</t>
  </si>
  <si>
    <t>codeTable: Swift Message Type</t>
  </si>
  <si>
    <t>Telex Number
A free-form field which is not validated, and is not masked.</t>
  </si>
  <si>
    <t>Use Senders Correspondent For Receiver
Only applicable to Non-Host Bank IMT Messages.
Validations: User must either check Use Senders Correspondent for Receiver Indicator or Receiver must be defined. If the Use Sender's Correspondent for Receiver indicator is checked on the destination IMT Remittance Instruction, Loan IQ writes both a Receiver and Sender’s Correspondent to the Queue Record. The Sender's Correspondent is still written regardless of whether the Use Sender's Correspondent for Receiver indicator is checked.</t>
  </si>
  <si>
    <t>&lt;CustomRemittanceInstruction&gt;&lt;IMTRemittanceInstructionMessage&gt;&lt;SwiftRole&gt;</t>
  </si>
  <si>
    <t>accountNumber</t>
  </si>
  <si>
    <t>Account Number
Optional field for SWIFT messages. Free Form entry that is not validated, (maximum of 20 characters) and is not ‘masked’.</t>
  </si>
  <si>
    <t>Answer Back
User may enter a free-form Answer Back number which is not validated.</t>
  </si>
  <si>
    <t>Description of the Remittance Instruction
Validation: Must be unique within the specified Profile/Location.</t>
  </si>
  <si>
    <t>Defaults to Custom</t>
  </si>
  <si>
    <t>localClearingCode</t>
  </si>
  <si>
    <t>Local Clearing Code
The code associated with the localClearingType.</t>
  </si>
  <si>
    <t>localClearingType</t>
  </si>
  <si>
    <t>Local Clearing Type
Defines the Local Clearing Types to be used to set up Payment Methods that clear locally, such as CHIPS in the U.S. and CHAPS in the U.K., etc.
Validation: Must be an existing entry.</t>
  </si>
  <si>
    <t>roleTypeCode</t>
  </si>
  <si>
    <t>SWIFT Role Type Code
Applicable to the following messages:
Message Default
MT100 – Beneficiary Customer
MT104 – None
MT199 – None
MT202 – None
MT210 – Ordering Institution
MT299 – None.
Note: There is no default SWIFT Role when Customer is a Host Bank Entity.
Validation: SWIFT Roles are applicable to all messages except TLXNR – Notice to Receiver, and TLXPA – Payment Advice.</t>
  </si>
  <si>
    <t>codeTable: Swift Role Type</t>
  </si>
  <si>
    <t>Telex Number
Free Form text entry that is only applicable to TLXNR–Notice to Receive and TLXPA-Payment Advice Messages.</t>
  </si>
  <si>
    <t>swiftId</t>
  </si>
  <si>
    <t>Swift ID
Validation: Either a Swift ID or a free-form Description must be entered in order to save the instruction.</t>
  </si>
  <si>
    <t>CashflowRemittanceInstruction</t>
  </si>
  <si>
    <t>customerExternalId</t>
  </si>
  <si>
    <t>External ID of the customer for whom the Cashflow Remittance Instruction must be set at the Outstanding level.
Validation: The value passed in this field must match the External ID of a valid Borrower/Lender for the Outstanding. If an invalid value is passed in this field, the API fails and returns an error.</t>
  </si>
  <si>
    <t>remittanceInstructionDescription</t>
  </si>
  <si>
    <t>The Remittance Instruction that needs to be added.
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</si>
  <si>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The Servicing Group Alias pertaining to the customer.
Validation: A valid Servicing Group Alias for the customer whose ID is passed in the customerExternalId field, must be passed in this field.</t>
  </si>
  <si>
    <t>SLMHostBankLenderShare</t>
  </si>
  <si>
    <t>shareAmt</t>
  </si>
  <si>
    <t>Host Bank Share amount submitted by SLM.
If submitted, this amount replaces the Loan IQ calculated amount for Host Bank Lender Share in the transaction, if the amount is flagged as non Prorata by SLM. If it is Prorata, then it must meet the threshold validation.</t>
  </si>
  <si>
    <t>This applies only to the separately licensed SLM Interface functionality. Hence  putting it as out of scope.</t>
  </si>
  <si>
    <t>External Customer ID.
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</si>
  <si>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UpdateLoanInterestPayment: For updating a Loan INterest Payment. This call allows updating Loan INterest Payment transactions with any status except Released and or Cancelled status</t>
  </si>
  <si>
    <t>Updatable (Y/N)?</t>
  </si>
  <si>
    <t>Requested Amount
May be greater than or less than the remaining cycle due. Where a cycle due amount exists, Loan IQ prorates the cycle due amount to determine the interest payment.
Validations:
•	If the Requested Amount is less than the cycle due amount, then a cycle due amount will remain. 
•	If the Requested Amount is greater than the cycle due amount, the overpayment will be applied to the cycle. 
Where no cycle due amount exists, Loan IQ prorates the payment using the Lender shares of the loan against the interest payment being applied. 
Modifying the Requested Amount creates an event. 
In the case of the SLM interface, two amounts are passed, the global amount and the amount of the SLM lender share.</t>
  </si>
  <si>
    <t>Effective Date
For a loan, it cannot be prior to Loan Effective Date, Facility, Effective Date or the Borrower Effective Date. The effective date can be greater than the current business date.</t>
  </si>
  <si>
    <t>Transaction ID
RID uniquely identifies the Interest Payment transaction to be updated. 
Validation: Required to save.</t>
  </si>
  <si>
    <t>This field is used to select the cycle due or projected EOC due amount through API. The valid values are –
•	PCYCD: Projected Cycle Due
•	PNDCD: Projected Cycle Due With Pending
•	CYCLD: Cycle Due
•	ATLCD: Adjusted Cycle Due Thru Last Night
•	ATTCD: Adjusted Cycle Due Thru Tonight
•	LNDSH: Lender Shares (Prepay Cycle)
Notes: If the Proration Type is blank, then the system considers – 
•	The Cycle Due for non-zero Borrower Accrual Cycle due amount, and
•	Lender Shares (Prepay Cycle) for the zero Borrower Accrual Cycle due amount.</t>
  </si>
  <si>
    <t>The unique client-defined name for the outstanding.
Validation: Must be unique within Bank. If LOALI system parameter is set to CSN or CID, this will be generated from first 10 characters of the Customer Short Name or Customer ID, respectively. If LOALI system parameter is blank, this will be system-generated from RID algorithm.
This is an information only field and will be ignored in the Inputs here.</t>
  </si>
  <si>
    <t>The unique identifier for the outstanding.
Validation: User can pass both, alias and RID but in that case it must point to the same Loan Object.
This is an information only field and will be ignored in the Inputs here.</t>
  </si>
  <si>
    <t>This field identifies the system that is calling the REST API.
This new attribute allows user to define the Source System in the Source System ID code table and use the same for mapping of transactions based on the Source System.</t>
  </si>
  <si>
    <t>This field identifies the system that is calling the REST API.
This new attribute allows the user to define the Source Reference Number at the transaction level, so that the same is taken into considering when processing the transaction.</t>
  </si>
  <si>
    <t>Non Functional requirement, SYSTEM Derived and non-user updatable</t>
  </si>
  <si>
    <t>Unique ID of the Loan Transaction processed
changed "Transaction RID" to loanTransactionId"</t>
  </si>
  <si>
    <t xml:space="preserve">CancelLoanInterestPayment: A cancel call simply cancels a transaction </t>
  </si>
  <si>
    <t>If the current status of the transaction must be ‘Pending, ‘Awaiting Send to Approval’, ‘Awaiting Approval’, or Awaiting Release</t>
  </si>
  <si>
    <r>
      <t>Validation</t>
    </r>
    <r>
      <rPr>
        <sz val="11"/>
        <color rgb="FF414141"/>
        <rFont val="Calibri"/>
        <family val="2"/>
        <scheme val="minor"/>
      </rPr>
      <t>: Identifies an existing loan interest payment</t>
    </r>
  </si>
  <si>
    <t>DeleteLoanInterestPayment: To delete Loan type of Loan Transaction where notices are not generated. When this API is run, it deletes all loanId's passed that are in Pending status.</t>
  </si>
  <si>
    <r>
      <rPr>
        <sz val="7"/>
        <rFont val="Times New Roman"/>
        <family val="1"/>
      </rPr>
      <t xml:space="preserve"> </t>
    </r>
    <r>
      <rPr>
        <sz val="10"/>
        <rFont val="Roboto"/>
      </rPr>
      <t>Pending Loan initial drawdowns prior to approval status can be deleted.</t>
    </r>
  </si>
  <si>
    <r>
      <rPr>
        <sz val="11"/>
        <color rgb="FF414141"/>
        <rFont val="Calibri"/>
        <family val="2"/>
        <scheme val="minor"/>
      </rPr>
      <t xml:space="preserve">Transactions associated to an active notice group cannot be deleted. </t>
    </r>
  </si>
  <si>
    <t xml:space="preserve">Transaction that have active locks on it cannot be deleted. </t>
  </si>
  <si>
    <t>Output</t>
  </si>
  <si>
    <t>Timestamp immediately after the delete operation is performed.</t>
  </si>
  <si>
    <t>EnquireLoanInterestPayment : All the Interest payments meeting the below specfied search criteria.</t>
  </si>
  <si>
    <t xml:space="preserve">Attribute Existing in ONLINE  (Y/N) </t>
  </si>
  <si>
    <t>dealName</t>
  </si>
  <si>
    <t>Contains, Wildcard possible</t>
  </si>
  <si>
    <t>facilityName</t>
  </si>
  <si>
    <t>loanAttributes</t>
  </si>
  <si>
    <t>Contains, Wildcard possible
Changed name "loan Alias" to "loanAlias"</t>
  </si>
  <si>
    <t>Exact matching values expected, either of RID or OID must be entered</t>
  </si>
  <si>
    <t>loanMaturityStartDate</t>
  </si>
  <si>
    <t>&lt;,&gt;,=, Loan maturity date range</t>
  </si>
  <si>
    <t>LoanMaturityEndDate</t>
  </si>
  <si>
    <t>interestPaymentAttributes</t>
  </si>
  <si>
    <t xml:space="preserve"> It's a drawdown Id for Interest Payment.</t>
  </si>
  <si>
    <t>currencyCode</t>
  </si>
  <si>
    <t>List</t>
  </si>
  <si>
    <t>List, Multi-select, Loan Interest Payment Currency</t>
  </si>
  <si>
    <t>Currency</t>
  </si>
  <si>
    <t xml:space="preserve">minimumRequestedAmount </t>
  </si>
  <si>
    <t xml:space="preserve">Numeric </t>
  </si>
  <si>
    <t>&lt;,&gt;,=, This the Requested Amount for the Interest Payment</t>
  </si>
  <si>
    <t xml:space="preserve">maximumRequestedAmount </t>
  </si>
  <si>
    <t>creationStartDate</t>
  </si>
  <si>
    <t>&lt;,&gt;,=, Loan Interest Payment Creation Date Range when Interest payment is created</t>
  </si>
  <si>
    <t>creationEndDate</t>
  </si>
  <si>
    <t>effectiveStartDate</t>
  </si>
  <si>
    <t>&lt;,&gt;,=, Loan InterestPayment Effective Date Range</t>
  </si>
  <si>
    <t>effectiveEndDate</t>
  </si>
  <si>
    <t>cycleDueDate</t>
  </si>
  <si>
    <t>statusCode</t>
  </si>
  <si>
    <t>List, Multi-select, Code needs to be selected from Source system and passed as input</t>
  </si>
  <si>
    <t>Object State</t>
  </si>
  <si>
    <t>reason</t>
  </si>
  <si>
    <t>User can pass values for all or any of the above fields. API should return the Output details for the Loan Transactions meeting the above specfied search criteria.</t>
  </si>
  <si>
    <t>success</t>
  </si>
  <si>
    <t>success = ‘true’/'false'</t>
  </si>
  <si>
    <t>deal</t>
  </si>
  <si>
    <t>Deal Name</t>
  </si>
  <si>
    <t>facility</t>
  </si>
  <si>
    <t>Facility name</t>
  </si>
  <si>
    <t>borrower</t>
  </si>
  <si>
    <t>Borrower name</t>
  </si>
  <si>
    <t>loanDetails</t>
  </si>
  <si>
    <t>Original Outstanding Alias</t>
  </si>
  <si>
    <t>interestPaymentDetails</t>
  </si>
  <si>
    <t>The requested amount of the outstanding transaction.</t>
  </si>
  <si>
    <t>actualAmount</t>
  </si>
  <si>
    <t>The actual amount of the outstanding transaction.</t>
  </si>
  <si>
    <t>The effective date of the transaction.</t>
  </si>
  <si>
    <t>Current status of the Transaction</t>
  </si>
  <si>
    <r>
      <rPr>
        <sz val="11"/>
        <rFont val="Calibri"/>
        <family val="2"/>
        <scheme val="minor"/>
      </rPr>
      <t>List of RID's Matching the specified criteria.</t>
    </r>
    <r>
      <rPr>
        <sz val="11"/>
        <color rgb="FFFF0000"/>
        <rFont val="Calibri"/>
        <family val="2"/>
        <scheme val="minor"/>
      </rPr>
      <t xml:space="preserve"> It's a drawdown Id for Interest Payment.</t>
    </r>
  </si>
  <si>
    <t>creationDate</t>
  </si>
  <si>
    <t>Comment</t>
  </si>
  <si>
    <t>cycleEndDate</t>
  </si>
  <si>
    <r>
      <t>API_Name&gt;&gt;</t>
    </r>
    <r>
      <rPr>
        <i/>
        <sz val="11"/>
        <color theme="1"/>
        <rFont val="Calibri"/>
        <family val="2"/>
        <scheme val="minor"/>
      </rPr>
      <t>Message</t>
    </r>
  </si>
  <si>
    <t>GetLoanInterestPayment</t>
  </si>
  <si>
    <t>Exact matching values expected
changed "LoanInterestPayment RID" to loanTransactionId"</t>
  </si>
  <si>
    <t>LoanInterestPaymentDetail</t>
  </si>
  <si>
    <t>List of RID's Matching the specified criteria</t>
  </si>
  <si>
    <t>The requested amount of the Interest Payment.</t>
  </si>
  <si>
    <t>The effective date of the Interest Payment transaction.</t>
  </si>
  <si>
    <t>The unique client-defined name for the outstanding.</t>
  </si>
  <si>
    <t>The unique RID for the outstanding.
Changed name "loanRID" to "loanId"</t>
  </si>
  <si>
    <t xml:space="preserve">The Start Date of the cycle for which Interest is being paid. </t>
  </si>
  <si>
    <t xml:space="preserve">The date the institution that services the loan receives the Borrower’s monthly installment. </t>
  </si>
  <si>
    <t>the cycle due or projected EOC due amount</t>
  </si>
  <si>
    <t xml:space="preserve"> the Source System in the Source System ID code table</t>
  </si>
  <si>
    <t>the Source Reference Number at the transaction level</t>
  </si>
  <si>
    <t xml:space="preserve">Principal Payment Amount </t>
  </si>
  <si>
    <t>StatusCode</t>
  </si>
  <si>
    <t>Current status of the transaction</t>
  </si>
  <si>
    <t>Required for Update call - Non Functional requirement for concurrency</t>
  </si>
  <si>
    <t>Messages</t>
  </si>
  <si>
    <r>
      <t>API_Name&gt;&gt;</t>
    </r>
    <r>
      <rPr>
        <i/>
        <sz val="11"/>
        <color theme="1"/>
        <rFont val="Calibri"/>
        <family val="2"/>
        <scheme val="minor"/>
      </rPr>
      <t>Message</t>
    </r>
    <r>
      <rPr>
        <sz val="11"/>
        <color theme="1"/>
        <rFont val="Calibri"/>
        <family val="2"/>
        <scheme val="minor"/>
      </rPr>
      <t xml:space="preserve">
All pertinant warnings and Errors shown in Loan IQ must be shown</t>
    </r>
  </si>
  <si>
    <t>For Output of GetByID</t>
  </si>
  <si>
    <t>Comments</t>
  </si>
  <si>
    <t>borrowerRemittanceInstruction</t>
  </si>
  <si>
    <t>The approved borrower remittance instructions</t>
  </si>
  <si>
    <t>Non-persistant in Loan IQ in Pending state</t>
  </si>
  <si>
    <t>For Input of Create call</t>
  </si>
  <si>
    <t>Present in TRANSACT ()</t>
  </si>
  <si>
    <t>The approved borrower remittance instructions
Validation: Where a value is passed it must reference the Description on the Remittance Instruction Detail Screen for an existing Active Borrower Remittance Instruction which must be valid for the Payment being made (it must have either the Principal or Interest indicator checked on the Remittance Instruction Detail Screen).
Note: Where a Remittance Instruction is passed by the API, and is valid for the payment type (Principal or Interest), it will take precedence over any instructions that currently exist for the Loan. Where a Remittance Instruction is passed by the API, but is not valid for the payment type (Principal or Interest) the Payment will be rejected by the API and the existing Remittance Instructions for the Loan will not be used.</t>
  </si>
  <si>
    <t>Non-persistant in Loan IQ in Pending state, saved when cashflows are created</t>
  </si>
  <si>
    <t>Optional. Status Code. The valid status codes are as follows:
PEND
·         AWSTA
·         AWA
·         AWARS
·         APPRV
·         LWREL
·         AUTOR
·         RELSD</t>
  </si>
  <si>
    <t>Technical issues, hence not supporting</t>
  </si>
  <si>
    <t>For Input of Update call</t>
  </si>
  <si>
    <t>If passed, status of the transaction will be changed to the status being passed. If no status is passed, the transaction will remain in its current status. 
Notes: 
•	The valid status codes are as follows:
o	PEND
o	AWSTA
o	AWA
o	AWARS
o	APPRV
o	LWREL
o	AUTOR
o	RELSD
•	The status of released cannot be passed if the Effective Date of the pending transaction is in the future. 
•	The following status code values are accepted by Loan IQ as per the enhancement - Auto-Release Functionality for Unscheduled Transactions and Event Fees:
o	LWREL – Awaiting Release
o	AUTOR – Awaiting Auto-Release</t>
  </si>
  <si>
    <t>Out of scope Sub-Elements for Create</t>
  </si>
  <si>
    <t>SubElement:TweakedShares</t>
  </si>
  <si>
    <t>SubElement: CustomRemittanceInstruction</t>
  </si>
  <si>
    <t>SubElement: OngoingFeeDates</t>
  </si>
  <si>
    <t>SubElement: OutstandingOngoingFeePricing</t>
  </si>
  <si>
    <t>SubElement: CashflowRemittanceInstruction</t>
  </si>
  <si>
    <t xml:space="preserve">Subelement: SLMHostBankLenderShares </t>
  </si>
  <si>
    <t xml:space="preserve">SubElement: HostBankLenderShare </t>
  </si>
  <si>
    <t>Out of scope Sub-Elements for Update</t>
  </si>
  <si>
    <t>Loan Change Transaction: API to initiate a Loan Change Transaction</t>
  </si>
  <si>
    <t>Onliy Fields that can be changed via the Loan Change Transaction should have been marked as Protected Fields</t>
  </si>
  <si>
    <t>P</t>
  </si>
  <si>
    <t>Validation</t>
  </si>
  <si>
    <t>Applicale for Loans, Repos, Deposits?</t>
  </si>
  <si>
    <t>Applicable for SBLC?</t>
  </si>
  <si>
    <t>LoanRID/OID</t>
  </si>
  <si>
    <t>Validation: Must exist in the system</t>
  </si>
  <si>
    <t>armPlan</t>
  </si>
  <si>
    <t>COLL</t>
  </si>
  <si>
    <t>ARM Plan Details</t>
  </si>
  <si>
    <t>additionalFields</t>
  </si>
  <si>
    <t>Additional Fields</t>
  </si>
  <si>
    <t>allInRateCap</t>
  </si>
  <si>
    <t>RATE</t>
  </si>
  <si>
    <t>All-In Rate Cap</t>
  </si>
  <si>
    <t>allInRateCapHistoryOverridden</t>
  </si>
  <si>
    <t>BOOL</t>
  </si>
  <si>
    <t>All-In Rate Cap Overridden</t>
  </si>
  <si>
    <t>allInRateFloor</t>
  </si>
  <si>
    <t>All-In Rate Floor</t>
  </si>
  <si>
    <t>allInRateFloorHistoryOverridden</t>
  </si>
  <si>
    <t>All-In Rate Floor Overridden</t>
  </si>
  <si>
    <t>ablRules</t>
  </si>
  <si>
    <t>CODE</t>
  </si>
  <si>
    <t>Asset Based Lending Rules</t>
  </si>
  <si>
    <t>autoReduceOnExpiry</t>
  </si>
  <si>
    <t>Auto Reduce On Expiry</t>
  </si>
  <si>
    <t>autoExtensionFields</t>
  </si>
  <si>
    <t>Automatic Extension Fields</t>
  </si>
  <si>
    <t>Extension</t>
  </si>
  <si>
    <t>autoExtensionIndicator</t>
  </si>
  <si>
    <t>Automatically Extend</t>
  </si>
  <si>
    <t>floatRateStartDate</t>
  </si>
  <si>
    <t>DATE</t>
  </si>
  <si>
    <t>Base Float Rate Start Date</t>
  </si>
  <si>
    <t>baseRate</t>
  </si>
  <si>
    <t>Base Rate</t>
  </si>
  <si>
    <t>baseRateIsFixed</t>
  </si>
  <si>
    <t>Base Rate Fixed</t>
  </si>
  <si>
    <t>baseRateFloor</t>
  </si>
  <si>
    <t>Base Rate Floor</t>
  </si>
  <si>
    <t>baseRateScheduledChanges</t>
  </si>
  <si>
    <t>Base Rate Scheduled Changes</t>
  </si>
  <si>
    <t>billCareOfContactIndicator</t>
  </si>
  <si>
    <t>Bill Care Of Contact Indicator</t>
  </si>
  <si>
    <t>calendars</t>
  </si>
  <si>
    <t>Calendars</t>
  </si>
  <si>
    <t>contractID</t>
  </si>
  <si>
    <t>STR</t>
  </si>
  <si>
    <t>Contract ID</t>
  </si>
  <si>
    <t>impairmentStage</t>
  </si>
  <si>
    <t>Credit Risk Stage</t>
  </si>
  <si>
    <t>outstandingDDLPIDates</t>
  </si>
  <si>
    <t>DDLPI Dates</t>
  </si>
  <si>
    <t>Effective Date</t>
  </si>
  <si>
    <t>extensionIncrement</t>
  </si>
  <si>
    <t>INT</t>
  </si>
  <si>
    <t>Extension Increment</t>
  </si>
  <si>
    <t>extensionPeriod</t>
  </si>
  <si>
    <t>Extension Period</t>
  </si>
  <si>
    <t>feeOnIssuingBankShares</t>
  </si>
  <si>
    <t>feeOnIssuingBankSharesAccrualEndDate</t>
  </si>
  <si>
    <t>Fee On Issuing Bank Shares Accrual End Date</t>
  </si>
  <si>
    <t>feeOnIssuingBankSharesAccrualEndDateRule</t>
  </si>
  <si>
    <t>Fee On Issuing Bank Shares Accrual End Date Rule</t>
  </si>
  <si>
    <t>feeOnIssuingBankSharesAccrualPeriod</t>
  </si>
  <si>
    <t>Fee On Issuing Bank Shares Accrual Period</t>
  </si>
  <si>
    <t>feeOnIssuingBankSharesActualAccrualDateRule</t>
  </si>
  <si>
    <t>Fee On Issuing Bank Shares Actual Accrual Date Rule</t>
  </si>
  <si>
    <t>feeOnIssuingBankSharesActualDueDate</t>
  </si>
  <si>
    <t>Fee On Issuing Bank Shares Actual Due Date</t>
  </si>
  <si>
    <t>feeOnIssuingBankSharesAdjustedDueDate</t>
  </si>
  <si>
    <t>Fee On Issuing Bank Shares Adjusted Due Date</t>
  </si>
  <si>
    <t>feeOnIssuingBankSharesPayInAdvanceIndicator</t>
  </si>
  <si>
    <t>Fee On Issuing Bank Shares Pay In Advance</t>
  </si>
  <si>
    <t>Fee On Issuing Bank Shares Rate</t>
  </si>
  <si>
    <t>feeOnIssuingBankSharesSpecificBillingDayRule</t>
  </si>
  <si>
    <t>Fee On Issuing Bank Shares Specific Billing Day Rule</t>
  </si>
  <si>
    <t>feeOnIssuingBankSharesSynchronizeBillingIndicator</t>
  </si>
  <si>
    <t>Fee On Issuing Bank Shares Synchronize Billing</t>
  </si>
  <si>
    <t>feeOnlenderShares</t>
  </si>
  <si>
    <t>feeOnlenderSharesAccrualEndDate</t>
  </si>
  <si>
    <t>Fee On Lender Shares Accrual End Date</t>
  </si>
  <si>
    <t>feeOnlenderSharesAccrualEndDateRule</t>
  </si>
  <si>
    <t>Fee On Lender Shares Accrual End Date Rule</t>
  </si>
  <si>
    <t>feeOnlenderSharesAccrualPeriod</t>
  </si>
  <si>
    <t>Fee On Lender Shares Accrual Period</t>
  </si>
  <si>
    <t>feeOnlenderSharesActualAccrualDateRule</t>
  </si>
  <si>
    <t>Fee On Lender Shares Actual Accrual Date Rule</t>
  </si>
  <si>
    <t>feeOnlenderSharesActualDueDate</t>
  </si>
  <si>
    <t>Fee On Lender Shares Actual Due Date</t>
  </si>
  <si>
    <t>feeOnlenderSharesAdjustedDueDate</t>
  </si>
  <si>
    <t>Fee On Lender Shares Adjusted Due Date</t>
  </si>
  <si>
    <t>issuingFeeFloatRateStartDate</t>
  </si>
  <si>
    <t>Fee On Lender Shares Float Rate Start Date</t>
  </si>
  <si>
    <t>feeOnlenderSharesPayInAdvanceIndicator</t>
  </si>
  <si>
    <t>Fee On Lender Shares Pay In Advance</t>
  </si>
  <si>
    <t>feeOnLenderSharesRate</t>
  </si>
  <si>
    <t>Fee On Lender Shares Rate</t>
  </si>
  <si>
    <t>feeOnlenderSharesSpecificBillingDayRule</t>
  </si>
  <si>
    <t>Fee On Lender Shares Specific Billing Day Rule</t>
  </si>
  <si>
    <t>feeOnlenderSharesSynchronizeBillingIndicator</t>
  </si>
  <si>
    <t>Fee On Lender Shares Synchronize Billing</t>
  </si>
  <si>
    <t>finalExpiryDate</t>
  </si>
  <si>
    <t>Final Expiry Date</t>
  </si>
  <si>
    <t>flatAmountIndicatorForFeeOnIssuingBankShares</t>
  </si>
  <si>
    <t>Flat Amount Indicator for Fee on Issuing Bank Shares</t>
  </si>
  <si>
    <t>flatAmountIndicatorForFeeOnLenderShares</t>
  </si>
  <si>
    <t>Flat Amount Indicator for Fee on Lender Shares</t>
  </si>
  <si>
    <t>fxRevaluation</t>
  </si>
  <si>
    <t>fxRevaluationActualOccurrenceDate</t>
  </si>
  <si>
    <t>Fx Revaluation Actual Next Occurrence Date</t>
  </si>
  <si>
    <t>fxRevaluationAdjustedOccurrenceDate</t>
  </si>
  <si>
    <t>Fx Revaluation Adjusted Next Occurrence Date</t>
  </si>
  <si>
    <t>fxRevaluationEOMRule</t>
  </si>
  <si>
    <t>Fx Revaluation EOM Rule</t>
  </si>
  <si>
    <t>fxRevaluationEffectiveDate</t>
  </si>
  <si>
    <t>Fx Revaluation Effective Date</t>
  </si>
  <si>
    <t>fxRevaluationFrequency</t>
  </si>
  <si>
    <t>Fx Revaluation Frequency</t>
  </si>
  <si>
    <t>fxRevaluationNonBusinessDayRule</t>
  </si>
  <si>
    <t>Fx Revaluation Non Business Day Rule</t>
  </si>
  <si>
    <t>fxRevaluationSettings</t>
  </si>
  <si>
    <t>Fx Revaluation Settings</t>
  </si>
  <si>
    <t>guaranteeFeeRate</t>
  </si>
  <si>
    <t>Guarantee Fee Rate</t>
  </si>
  <si>
    <t>roundingRulesFractionInitialRate</t>
  </si>
  <si>
    <t>Initial Fraction Rate</t>
  </si>
  <si>
    <t>roundingRulesFractionRounding</t>
  </si>
  <si>
    <t>Initial Fraction Rounding Method</t>
  </si>
  <si>
    <t>interestDueUponRepricing</t>
  </si>
  <si>
    <t>Interest Due Upon Repricing</t>
  </si>
  <si>
    <t>interestStabilizationEffectiveDate</t>
  </si>
  <si>
    <t>Interest Stabilization Effective Date</t>
  </si>
  <si>
    <t>internalRiskRatings</t>
  </si>
  <si>
    <t>Internal Risk Ratings</t>
  </si>
  <si>
    <t>legacyBaseRateFloor</t>
  </si>
  <si>
    <t>Legacy Base Rate Floor</t>
  </si>
  <si>
    <t>loanAccrualValues</t>
  </si>
  <si>
    <t>Loan Accrual Values</t>
  </si>
  <si>
    <t>facilityCurrencyRate</t>
  </si>
  <si>
    <t>Loan Foreign Exchange Rate</t>
  </si>
  <si>
    <t>rateBasis</t>
  </si>
  <si>
    <t>Loan Rate Basis</t>
  </si>
  <si>
    <t>maturityDate</t>
  </si>
  <si>
    <t>Maturity Date</t>
  </si>
  <si>
    <t>minimumOrFlatAmountForFeeOnIssuingBankShares</t>
  </si>
  <si>
    <t>AMT</t>
  </si>
  <si>
    <t>Minimum/Flat Amount For Fee On Issuing Bank Shares</t>
  </si>
  <si>
    <t>minimumOrFlatAmountForFeeOnLenderShares</t>
  </si>
  <si>
    <t>Minimum/Flat Amount For Fee On Lender Shares</t>
  </si>
  <si>
    <t>missedPayment</t>
  </si>
  <si>
    <t>missedInterestPaymentDate</t>
  </si>
  <si>
    <t>Missed Interest Payment Date Change</t>
  </si>
  <si>
    <t>missedInterestPaymentField</t>
  </si>
  <si>
    <t>Missed Interest Payment Field Change</t>
  </si>
  <si>
    <t>missedInterestPaymentOption</t>
  </si>
  <si>
    <t>Missed Interest Payment Option Change</t>
  </si>
  <si>
    <t>missedPrincipalPaymentDate</t>
  </si>
  <si>
    <t>Missed Principal Payment Date Change</t>
  </si>
  <si>
    <t>missedPrincipalPaymentField</t>
  </si>
  <si>
    <t>Missed Principal Payment Field Change</t>
  </si>
  <si>
    <t>missedPrincipalPaymentOption</t>
  </si>
  <si>
    <t>Missed Principal Payment Option Change</t>
  </si>
  <si>
    <t>notificationPeriod</t>
  </si>
  <si>
    <t>Notification Period</t>
  </si>
  <si>
    <t>notificationReceived</t>
  </si>
  <si>
    <t>Notification Received</t>
  </si>
  <si>
    <t>borrowingBaseCollateralAccounts</t>
  </si>
  <si>
    <t>Outstanding Borrowing Base Collateral Accounts</t>
  </si>
  <si>
    <t>pastDuePricingDetails</t>
  </si>
  <si>
    <t>Past Due</t>
  </si>
  <si>
    <t>pastDueGraceDays</t>
  </si>
  <si>
    <t>Past Due Grace Days</t>
  </si>
  <si>
    <t>paymentMode</t>
  </si>
  <si>
    <t>Payment Mode</t>
  </si>
  <si>
    <t>penaltySpreadAllInRateCap</t>
  </si>
  <si>
    <t>Penalty Spread All-In Rate Cap</t>
  </si>
  <si>
    <t>penaltySpreadAllInRateFloor</t>
  </si>
  <si>
    <t>Penalty Spread All-In Rate Floor</t>
  </si>
  <si>
    <t>penaltySpread</t>
  </si>
  <si>
    <t>Penalty Spread Rate</t>
  </si>
  <si>
    <t>penaltySpreadStatus</t>
  </si>
  <si>
    <t>Penalty Spread Status</t>
  </si>
  <si>
    <t>percentOfRate</t>
  </si>
  <si>
    <t>percentOfRateFormula</t>
  </si>
  <si>
    <t>Percent of Rate Formula</t>
  </si>
  <si>
    <t>percentOfRateFormulaFields</t>
  </si>
  <si>
    <t>Percent of Rate Formula Fields</t>
  </si>
  <si>
    <t>percentOfRateFormulaUsage</t>
  </si>
  <si>
    <t>Percent of Rate Formula Usage</t>
  </si>
  <si>
    <t>pledgeCode</t>
  </si>
  <si>
    <t>Pledge Code</t>
  </si>
  <si>
    <t>racByLender</t>
  </si>
  <si>
    <t>racAppliesToLender</t>
  </si>
  <si>
    <t>RAC Applies to Lender</t>
  </si>
  <si>
    <t>racRateIsFixed</t>
  </si>
  <si>
    <t>RAC Rate Fixed</t>
  </si>
  <si>
    <t>RAC by Lender</t>
  </si>
  <si>
    <t>reinstatableIndicator</t>
  </si>
  <si>
    <t>Reinstatable Indicator</t>
  </si>
  <si>
    <t>repaymentScheduleSync</t>
  </si>
  <si>
    <t>Repayment Schedule Sync Indicator</t>
  </si>
  <si>
    <t>Repricing Anniversary Date/EOM Rule</t>
  </si>
  <si>
    <t>repricingAnniversaryDate</t>
  </si>
  <si>
    <t>Repricing Anniversary Date</t>
  </si>
  <si>
    <t>repricingAnniversaryDateApplies</t>
  </si>
  <si>
    <t>Repricing Anniversary Date Applies</t>
  </si>
  <si>
    <t>repricingAnniversaryDateEOMRule</t>
  </si>
  <si>
    <t>Repricing Anniversary Date EOM Rule</t>
  </si>
  <si>
    <t>reserveAssetCostRate</t>
  </si>
  <si>
    <t>Reserve Asset Cost Rate</t>
  </si>
  <si>
    <t>racRepricingDate</t>
  </si>
  <si>
    <t>Reserve Asset Cost Repricing Date</t>
  </si>
  <si>
    <t>riskType</t>
  </si>
  <si>
    <t>Risk Type</t>
  </si>
  <si>
    <t>roundingApplicationMethod</t>
  </si>
  <si>
    <t>Rounding Application Method</t>
  </si>
  <si>
    <t>roundingRulesDecimalPrecision</t>
  </si>
  <si>
    <t>Rounding Decimal Precision</t>
  </si>
  <si>
    <t>roundingRulesDecimalRounding</t>
  </si>
  <si>
    <t>Rounding Decimal Precision Method</t>
  </si>
  <si>
    <t>sblcAccrualValues</t>
  </si>
  <si>
    <t>SBLC Accrual Values</t>
  </si>
  <si>
    <t>enteredExpiryDate</t>
  </si>
  <si>
    <t>SBLC Expiry Date</t>
  </si>
  <si>
    <t>facingFeeRateBasis</t>
  </si>
  <si>
    <t>SBLC Fee On Issuing Bank Shares Rate Basis</t>
  </si>
  <si>
    <t>issuingFeeRateBasis</t>
  </si>
  <si>
    <t>SBLC Fee On Lender Shares Rate Basis</t>
  </si>
  <si>
    <t>SBLC Foreign Exchange Rate</t>
  </si>
  <si>
    <t>Separate Accrual Rules</t>
  </si>
  <si>
    <t>keepAccrualFeeInfoSeparateIndicator</t>
  </si>
  <si>
    <t>servicingFeeRate</t>
  </si>
  <si>
    <t>Servicing Fee Rate</t>
  </si>
  <si>
    <t>spread</t>
  </si>
  <si>
    <t>Spread</t>
  </si>
  <si>
    <t>spreadAdjustment</t>
  </si>
  <si>
    <t>Spread Adjustment</t>
  </si>
  <si>
    <t>spreadAdjMatrixList</t>
  </si>
  <si>
    <t>Spread Adjustment Matrix</t>
  </si>
  <si>
    <t>floatSpreadStartDate</t>
  </si>
  <si>
    <t>Spread Float Rate Start Date</t>
  </si>
  <si>
    <t>sublimit</t>
  </si>
  <si>
    <t>Sublimit</t>
  </si>
  <si>
    <t>subsidyAgency</t>
  </si>
  <si>
    <t>Subsidy Agency</t>
  </si>
  <si>
    <t>subsidyInterestRate</t>
  </si>
  <si>
    <t>Subsidy Interest Rate</t>
  </si>
  <si>
    <t>swapReceiveBaseRate</t>
  </si>
  <si>
    <t>Swap Receive Rate</t>
  </si>
  <si>
    <t>syncPrincipalAndRepricingDueDates</t>
  </si>
  <si>
    <t>Sync Principal and Repricing Due Dates</t>
  </si>
  <si>
    <t>interestScheduleForRepricingDates</t>
  </si>
  <si>
    <t>Use Interest Schedule For Repricing Dates</t>
  </si>
  <si>
    <t>OutstandingAsReturnValue</t>
  </si>
  <si>
    <t>status</t>
  </si>
  <si>
    <t>alias</t>
  </si>
  <si>
    <t>version</t>
  </si>
  <si>
    <t>transactionId</t>
  </si>
  <si>
    <t>May be a tag / separate category for Error and Warning
Error Messages and Warnings should be called out separately in a different tag.</t>
  </si>
  <si>
    <t>EventID</t>
  </si>
  <si>
    <t>Event ID RID</t>
  </si>
  <si>
    <t>Code</t>
  </si>
  <si>
    <t>ARMLN</t>
  </si>
  <si>
    <t>ADFLD</t>
  </si>
  <si>
    <t>RTCPR</t>
  </si>
  <si>
    <t>AIRCO</t>
  </si>
  <si>
    <t>RTFLR</t>
  </si>
  <si>
    <t>AIRFO</t>
  </si>
  <si>
    <t>ABLRS</t>
  </si>
  <si>
    <t>AREXP</t>
  </si>
  <si>
    <t>AUTEF</t>
  </si>
  <si>
    <t>AUTEX</t>
  </si>
  <si>
    <t>BAFLT</t>
  </si>
  <si>
    <t>BASRT</t>
  </si>
  <si>
    <t>BRFIX</t>
  </si>
  <si>
    <t>BSRTF</t>
  </si>
  <si>
    <t>BRSCH</t>
  </si>
  <si>
    <t>OCARO</t>
  </si>
  <si>
    <t>CLNDR</t>
  </si>
  <si>
    <t>CTRCT</t>
  </si>
  <si>
    <t>IMPST</t>
  </si>
  <si>
    <t>DDLPI</t>
  </si>
  <si>
    <t>EFFDT</t>
  </si>
  <si>
    <t>EXINC</t>
  </si>
  <si>
    <t>EXPER</t>
  </si>
  <si>
    <t>FIAED</t>
  </si>
  <si>
    <t>FIAER</t>
  </si>
  <si>
    <t>FIACP</t>
  </si>
  <si>
    <t>FIADR</t>
  </si>
  <si>
    <t>FIACD</t>
  </si>
  <si>
    <t>FIADD</t>
  </si>
  <si>
    <t>FIPAD</t>
  </si>
  <si>
    <t>FIBRT</t>
  </si>
  <si>
    <t>FISBR</t>
  </si>
  <si>
    <t>FISBL</t>
  </si>
  <si>
    <t>FLAED</t>
  </si>
  <si>
    <t>FLAER</t>
  </si>
  <si>
    <t>FLACP</t>
  </si>
  <si>
    <t>FLADR</t>
  </si>
  <si>
    <t>FLACD</t>
  </si>
  <si>
    <t>FLADD</t>
  </si>
  <si>
    <t>ISFLT</t>
  </si>
  <si>
    <t>FLPAD</t>
  </si>
  <si>
    <t>FLSRT</t>
  </si>
  <si>
    <t>FLSBR</t>
  </si>
  <si>
    <t>FLSBL</t>
  </si>
  <si>
    <t>FNEXP</t>
  </si>
  <si>
    <t>FLIIS</t>
  </si>
  <si>
    <t>FLIFL</t>
  </si>
  <si>
    <t>FACOD</t>
  </si>
  <si>
    <t>FADOD</t>
  </si>
  <si>
    <t>FEOMR</t>
  </si>
  <si>
    <t>FEDTE</t>
  </si>
  <si>
    <t>FXFRE</t>
  </si>
  <si>
    <t>FNBRL</t>
  </si>
  <si>
    <t>FXREV</t>
  </si>
  <si>
    <t>GFEE</t>
  </si>
  <si>
    <t>RDGIF</t>
  </si>
  <si>
    <t>RDGFM</t>
  </si>
  <si>
    <t>IDUR</t>
  </si>
  <si>
    <t>INSDT</t>
  </si>
  <si>
    <t>ORSRT</t>
  </si>
  <si>
    <t>LBRTF</t>
  </si>
  <si>
    <t>ACVAL</t>
  </si>
  <si>
    <t>LNFXR</t>
  </si>
  <si>
    <t>LNRTB</t>
  </si>
  <si>
    <t>MATDT</t>
  </si>
  <si>
    <t>MAMIS</t>
  </si>
  <si>
    <t>MAMFL</t>
  </si>
  <si>
    <t>MIPDC</t>
  </si>
  <si>
    <t>MIPFC</t>
  </si>
  <si>
    <t>MIPOC</t>
  </si>
  <si>
    <t>MPPDC</t>
  </si>
  <si>
    <t>MPPFC</t>
  </si>
  <si>
    <t>MPPOC</t>
  </si>
  <si>
    <t>NOPER</t>
  </si>
  <si>
    <t>NOREC</t>
  </si>
  <si>
    <t>OSTBB</t>
  </si>
  <si>
    <t>PSTDU</t>
  </si>
  <si>
    <t>PDGRD</t>
  </si>
  <si>
    <t>PAYMD</t>
  </si>
  <si>
    <t>PSCAP</t>
  </si>
  <si>
    <t>PSFLR</t>
  </si>
  <si>
    <t>PSRTE</t>
  </si>
  <si>
    <t>PSSTA</t>
  </si>
  <si>
    <t>PCTFA</t>
  </si>
  <si>
    <t>PCTRF</t>
  </si>
  <si>
    <t>PCTUS</t>
  </si>
  <si>
    <t>PLCDE</t>
  </si>
  <si>
    <t>RACAL</t>
  </si>
  <si>
    <t>RRFIX</t>
  </si>
  <si>
    <t>ORACL</t>
  </si>
  <si>
    <t>RINST</t>
  </si>
  <si>
    <t>RSILT</t>
  </si>
  <si>
    <t>RADTE</t>
  </si>
  <si>
    <t>RADTA</t>
  </si>
  <si>
    <t>RAEOM</t>
  </si>
  <si>
    <t>RADTR</t>
  </si>
  <si>
    <t>RACRT</t>
  </si>
  <si>
    <t>RACRD</t>
  </si>
  <si>
    <t>RSKTP</t>
  </si>
  <si>
    <t>RDGAM</t>
  </si>
  <si>
    <t>RDGDP</t>
  </si>
  <si>
    <t>RDGDM</t>
  </si>
  <si>
    <t>SAVAL</t>
  </si>
  <si>
    <t>LCEDT</t>
  </si>
  <si>
    <t>ISRTB</t>
  </si>
  <si>
    <t>LCRTB</t>
  </si>
  <si>
    <t>LCFXR</t>
  </si>
  <si>
    <t>SFACR</t>
  </si>
  <si>
    <t>SVFEE</t>
  </si>
  <si>
    <t>SPRED</t>
  </si>
  <si>
    <t>SPRAJ</t>
  </si>
  <si>
    <t>SPAJM</t>
  </si>
  <si>
    <t>SPFLT</t>
  </si>
  <si>
    <t>SUBLM</t>
  </si>
  <si>
    <t>SAGNC</t>
  </si>
  <si>
    <t>SIPRD</t>
  </si>
  <si>
    <t>SWRRT</t>
  </si>
  <si>
    <t>SPRDD</t>
  </si>
  <si>
    <t>ISDRD</t>
  </si>
  <si>
    <t>ENTITY_NAME</t>
  </si>
  <si>
    <t>LoanInterestPayment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</si>
</sst>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0"/>
      <color rgb="FF414141"/>
      <name val="Roboto"/>
    </font>
    <font>
      <b/>
      <sz val="14"/>
      <color theme="1"/>
      <name val="Calibri"/>
      <family val="2"/>
      <scheme val="minor"/>
    </font>
    <font>
      <i/>
      <sz val="11"/>
      <color theme="1"/>
      <name val="Calibri"/>
      <family val="2"/>
      <scheme val="minor"/>
    </font>
    <font>
      <b/>
      <sz val="11"/>
      <color theme="0"/>
      <name val="Calibri"/>
      <family val="2"/>
      <scheme val="minor"/>
    </font>
    <font>
      <u/>
      <sz val="11"/>
      <color theme="10"/>
      <name val="Calibri"/>
      <family val="2"/>
      <scheme val="minor"/>
    </font>
    <font>
      <sz val="14"/>
      <color theme="1"/>
      <name val="Calibri"/>
      <family val="2"/>
      <scheme val="minor"/>
    </font>
    <font>
      <sz val="11"/>
      <color rgb="FFFF0000"/>
      <name val="Calibri"/>
      <family val="2"/>
      <scheme val="minor"/>
    </font>
    <font>
      <sz val="9"/>
      <color rgb="FF414141"/>
      <name val="Roboto"/>
    </font>
    <font>
      <sz val="7"/>
      <name val="Times New Roman"/>
      <family val="1"/>
    </font>
    <font>
      <sz val="10"/>
      <name val="Roboto"/>
    </font>
    <font>
      <sz val="11"/>
      <color rgb="FF414141"/>
      <name val="Calibri"/>
      <family val="2"/>
      <scheme val="minor"/>
    </font>
    <font>
      <i/>
      <sz val="9"/>
      <color rgb="FF414141"/>
      <name val="Roboto"/>
    </font>
    <font>
      <b/>
      <sz val="9"/>
      <color rgb="FF414141"/>
      <name val="Roboto"/>
    </font>
    <font>
      <sz val="11"/>
      <color rgb="FF9C0006"/>
      <name val="Calibri"/>
      <family val="2"/>
      <scheme val="minor"/>
    </font>
    <font>
      <sz val="11"/>
      <name val="Calibri"/>
      <family val="2"/>
      <scheme val="minor"/>
    </font>
    <font>
      <sz val="11"/>
      <color rgb="FF9C5700"/>
      <name val="Calibri"/>
      <family val="2"/>
      <scheme val="minor"/>
    </font>
    <font>
      <b/>
      <sz val="11"/>
      <color theme="4"/>
      <name val="Calibri"/>
      <family val="2"/>
      <scheme val="minor"/>
    </font>
    <font>
      <b/>
      <sz val="22"/>
      <color rgb="FF9C5700"/>
      <name val="Calibri"/>
      <family val="2"/>
      <scheme val="minor"/>
    </font>
    <font>
      <sz val="11"/>
      <color rgb="FF000000"/>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6"/>
        <bgColor indexed="64"/>
      </patternFill>
    </fill>
    <fill>
      <patternFill patternType="solid">
        <fgColor rgb="FFA5A5A5"/>
      </patternFill>
    </fill>
    <fill>
      <patternFill patternType="solid">
        <fgColor theme="5" tint="0.79998168889431442"/>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0" tint="-0.14999847407452621"/>
        <bgColor indexed="64"/>
      </patternFill>
    </fill>
    <fill>
      <patternFill patternType="solid">
        <fgColor theme="3"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rgb="FF3F3F3F"/>
      </left>
      <right style="double">
        <color rgb="FF3F3F3F"/>
      </right>
      <top/>
      <bottom/>
      <diagonal/>
    </border>
    <border>
      <left style="thin">
        <color indexed="64"/>
      </left>
      <right style="thin">
        <color indexed="64"/>
      </right>
      <top/>
      <bottom/>
      <diagonal/>
    </border>
    <border>
      <left/>
      <right/>
      <top style="thin">
        <color indexed="64"/>
      </top>
      <bottom/>
      <diagonal/>
    </border>
  </borders>
  <cellStyleXfs count="5">
    <xf numFmtId="0" fontId="0" fillId="0" borderId="0"/>
    <xf numFmtId="0" fontId="5" fillId="4" borderId="5" applyNumberFormat="0" applyAlignment="0" applyProtection="0"/>
    <xf numFmtId="0" fontId="6" fillId="0" borderId="0" applyNumberFormat="0" applyFill="0" applyBorder="0" applyAlignment="0" applyProtection="0"/>
    <xf numFmtId="0" fontId="15" fillId="6" borderId="0" applyNumberFormat="0" applyBorder="0" applyAlignment="0" applyProtection="0"/>
    <xf numFmtId="0" fontId="17" fillId="7" borderId="0" applyNumberFormat="0" applyBorder="0" applyAlignment="0" applyProtection="0"/>
  </cellStyleXfs>
  <cellXfs count="9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0" xfId="0" applyAlignment="1">
      <alignment vertic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0" fillId="0" borderId="1" xfId="0" applyBorder="1" applyAlignment="1">
      <alignment horizontal="left" vertical="top"/>
    </xf>
    <xf numFmtId="0" fontId="0" fillId="0" borderId="0" xfId="0" applyAlignment="1">
      <alignment horizontal="left" vertical="top"/>
    </xf>
    <xf numFmtId="0" fontId="0" fillId="3" borderId="1" xfId="0" applyFill="1" applyBorder="1" applyAlignment="1">
      <alignment horizontal="center" wrapText="1"/>
    </xf>
    <xf numFmtId="0" fontId="2" fillId="0" borderId="1" xfId="0" applyFont="1" applyBorder="1"/>
    <xf numFmtId="0" fontId="1" fillId="3" borderId="1" xfId="0" applyFont="1" applyFill="1" applyBorder="1" applyAlignment="1">
      <alignment horizontal="left" wrapText="1"/>
    </xf>
    <xf numFmtId="0" fontId="0" fillId="0" borderId="1" xfId="0" applyBorder="1" applyAlignment="1">
      <alignment horizontal="center" vertical="center" wrapText="1"/>
    </xf>
    <xf numFmtId="0" fontId="5" fillId="4" borderId="5" xfId="1"/>
    <xf numFmtId="0" fontId="6" fillId="0" borderId="0" xfId="2" applyAlignment="1">
      <alignment horizontal="left" vertical="center"/>
    </xf>
    <xf numFmtId="0" fontId="6" fillId="0" borderId="1" xfId="2" applyBorder="1"/>
    <xf numFmtId="0" fontId="0" fillId="0" borderId="3" xfId="0" applyBorder="1"/>
    <xf numFmtId="0" fontId="0" fillId="0" borderId="1" xfId="0" applyBorder="1" applyAlignment="1">
      <alignment horizontal="left"/>
    </xf>
    <xf numFmtId="0" fontId="0" fillId="5" borderId="0" xfId="0" applyFill="1"/>
    <xf numFmtId="0" fontId="3" fillId="5" borderId="0" xfId="0" applyFont="1" applyFill="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center" vertical="center"/>
    </xf>
    <xf numFmtId="0" fontId="8" fillId="0" borderId="1" xfId="0" applyFont="1" applyBorder="1"/>
    <xf numFmtId="0" fontId="8" fillId="0" borderId="0" xfId="0" applyFont="1"/>
    <xf numFmtId="0" fontId="0" fillId="0" borderId="0" xfId="0" applyAlignment="1">
      <alignment horizontal="center"/>
    </xf>
    <xf numFmtId="0" fontId="0" fillId="0" borderId="10" xfId="0" applyBorder="1"/>
    <xf numFmtId="0" fontId="0" fillId="0" borderId="10" xfId="0" applyBorder="1" applyAlignment="1">
      <alignment horizontal="left" vertical="top"/>
    </xf>
    <xf numFmtId="0" fontId="6" fillId="0" borderId="0" xfId="2" applyFill="1"/>
    <xf numFmtId="0" fontId="0" fillId="0" borderId="11" xfId="0" applyBorder="1"/>
    <xf numFmtId="0" fontId="2" fillId="0" borderId="0" xfId="0" applyFont="1"/>
    <xf numFmtId="0" fontId="2" fillId="0" borderId="2" xfId="0" applyFont="1" applyBorder="1"/>
    <xf numFmtId="0" fontId="5" fillId="4" borderId="12" xfId="1" applyBorder="1"/>
    <xf numFmtId="0" fontId="0" fillId="0" borderId="1" xfId="0" applyBorder="1" applyAlignment="1">
      <alignment horizontal="left" vertical="top" wrapText="1"/>
    </xf>
    <xf numFmtId="0" fontId="0" fillId="0" borderId="7" xfId="0" applyBorder="1" applyAlignment="1">
      <alignment horizontal="left" vertical="center" wrapText="1"/>
    </xf>
    <xf numFmtId="0" fontId="1" fillId="0" borderId="1" xfId="0" applyFont="1" applyBorder="1"/>
    <xf numFmtId="15" fontId="0" fillId="0" borderId="1" xfId="0" applyNumberFormat="1" applyBorder="1"/>
    <xf numFmtId="0" fontId="16" fillId="0" borderId="1" xfId="0" applyFont="1" applyBorder="1"/>
    <xf numFmtId="0" fontId="16" fillId="0" borderId="1" xfId="0" applyFont="1" applyBorder="1" applyAlignment="1">
      <alignment wrapText="1"/>
    </xf>
    <xf numFmtId="0" fontId="6" fillId="8" borderId="1" xfId="2" applyFill="1" applyBorder="1"/>
    <xf numFmtId="0" fontId="0" fillId="8" borderId="3" xfId="0" applyFill="1" applyBorder="1"/>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8" fillId="0" borderId="1" xfId="0" applyFont="1" applyBorder="1" applyAlignment="1">
      <alignment horizontal="center" vertical="center"/>
    </xf>
    <xf numFmtId="0" fontId="1" fillId="3" borderId="3" xfId="0" applyFont="1" applyFill="1" applyBorder="1" applyAlignment="1">
      <alignment horizontal="center" wrapText="1"/>
    </xf>
    <xf numFmtId="0" fontId="0" fillId="3" borderId="13" xfId="0" applyFill="1" applyBorder="1" applyAlignment="1">
      <alignment horizontal="center" wrapText="1"/>
    </xf>
    <xf numFmtId="0" fontId="0" fillId="0" borderId="1" xfId="0" applyBorder="1" applyAlignment="1">
      <alignment horizontal="left" wrapText="1"/>
    </xf>
    <xf numFmtId="0" fontId="16" fillId="0" borderId="1" xfId="0" applyFont="1" applyBorder="1" applyAlignment="1">
      <alignment vertical="center" wrapText="1"/>
    </xf>
    <xf numFmtId="0" fontId="0" fillId="8" borderId="1" xfId="0" applyFill="1" applyBorder="1" applyAlignment="1">
      <alignment vertical="center" wrapText="1"/>
    </xf>
    <xf numFmtId="0" fontId="0" fillId="0" borderId="2" xfId="0" applyBorder="1" applyAlignment="1">
      <alignment wrapText="1"/>
    </xf>
    <xf numFmtId="0" fontId="0" fillId="0" borderId="3" xfId="0" applyBorder="1" applyAlignment="1">
      <alignment horizontal="center" vertical="center" wrapText="1"/>
    </xf>
    <xf numFmtId="0" fontId="0" fillId="0" borderId="3" xfId="0" applyBorder="1" applyAlignment="1">
      <alignment wrapText="1"/>
    </xf>
    <xf numFmtId="0" fontId="18" fillId="0" borderId="1" xfId="0" applyFont="1" applyBorder="1" applyAlignment="1">
      <alignment horizontal="center" vertical="center" wrapText="1"/>
    </xf>
    <xf numFmtId="0" fontId="0" fillId="0" borderId="13" xfId="0" applyBorder="1" applyAlignment="1">
      <alignment wrapText="1"/>
    </xf>
    <xf numFmtId="0" fontId="0" fillId="0" borderId="9" xfId="0" applyBorder="1" applyAlignment="1">
      <alignment wrapText="1"/>
    </xf>
    <xf numFmtId="0" fontId="19" fillId="7" borderId="6" xfId="4" applyFont="1" applyBorder="1" applyAlignment="1">
      <alignment horizontal="center" wrapText="1"/>
    </xf>
    <xf numFmtId="15" fontId="0" fillId="0" borderId="0" xfId="0" applyNumberFormat="1"/>
    <xf numFmtId="0" fontId="16" fillId="8" borderId="1" xfId="0" applyFont="1" applyFill="1" applyBorder="1" applyAlignment="1">
      <alignment vertical="center" wrapText="1"/>
    </xf>
    <xf numFmtId="0" fontId="20" fillId="0" borderId="1" xfId="0" applyFont="1" applyBorder="1"/>
    <xf numFmtId="0" fontId="0" fillId="0" borderId="7" xfId="0" applyBorder="1"/>
    <xf numFmtId="0" fontId="0" fillId="0" borderId="13" xfId="0" applyBorder="1"/>
    <xf numFmtId="0" fontId="0" fillId="0" borderId="1" xfId="0" quotePrefix="1" applyBorder="1" applyAlignment="1">
      <alignment horizontal="center"/>
    </xf>
    <xf numFmtId="0" fontId="0" fillId="0" borderId="7" xfId="0" applyBorder="1" applyAlignment="1">
      <alignment vertical="center" wrapText="1"/>
    </xf>
    <xf numFmtId="0" fontId="8" fillId="0" borderId="1" xfId="0" applyFont="1" applyBorder="1" applyAlignment="1">
      <alignment horizontal="left" vertical="center" wrapText="1"/>
    </xf>
    <xf numFmtId="0" fontId="8" fillId="8" borderId="1" xfId="0" applyFont="1" applyFill="1" applyBorder="1"/>
    <xf numFmtId="0" fontId="7" fillId="2" borderId="1" xfId="0" applyFont="1" applyFill="1" applyBorder="1" applyAlignment="1">
      <alignment horizontal="left"/>
    </xf>
    <xf numFmtId="0" fontId="0" fillId="0" borderId="1" xfId="0" applyBorder="1" applyAlignment="1">
      <alignment horizontal="center" vertical="center"/>
    </xf>
    <xf numFmtId="0" fontId="3" fillId="2" borderId="3" xfId="0" applyFont="1" applyFill="1" applyBorder="1" applyAlignment="1">
      <alignment horizontal="center"/>
    </xf>
    <xf numFmtId="0" fontId="3" fillId="2" borderId="6" xfId="0" applyFont="1" applyFill="1" applyBorder="1" applyAlignment="1">
      <alignment horizontal="center"/>
    </xf>
    <xf numFmtId="0" fontId="3" fillId="2" borderId="11" xfId="0" applyFont="1" applyFill="1" applyBorder="1" applyAlignment="1">
      <alignment horizontal="center"/>
    </xf>
    <xf numFmtId="0" fontId="7" fillId="2" borderId="1" xfId="0" applyFont="1" applyFill="1" applyBorder="1" applyAlignment="1">
      <alignment horizontal="left"/>
    </xf>
    <xf numFmtId="0" fontId="3" fillId="2" borderId="1" xfId="0" applyFont="1" applyFill="1" applyBorder="1" applyAlignment="1">
      <alignment horizontal="center"/>
    </xf>
    <xf numFmtId="0" fontId="3" fillId="2" borderId="7" xfId="0" applyFont="1" applyFill="1" applyBorder="1" applyAlignment="1">
      <alignment horizontal="center"/>
    </xf>
    <xf numFmtId="0" fontId="0" fillId="0" borderId="1" xfId="0" applyBorder="1" applyAlignment="1">
      <alignment horizontal="left"/>
    </xf>
    <xf numFmtId="0" fontId="0" fillId="0" borderId="7" xfId="0" applyBorder="1" applyAlignment="1">
      <alignment horizontal="center" vertical="center"/>
    </xf>
    <xf numFmtId="0" fontId="0" fillId="0" borderId="10" xfId="0" applyBorder="1" applyAlignment="1">
      <alignment horizontal="center" vertical="center"/>
    </xf>
    <xf numFmtId="0" fontId="15" fillId="6" borderId="9" xfId="3" applyBorder="1" applyAlignment="1">
      <alignment horizontal="center" wrapText="1"/>
    </xf>
    <xf numFmtId="0" fontId="0" fillId="0" borderId="0" xfId="0"/>
    <xf numFmtId="0" fontId="3" fillId="2" borderId="4" xfId="0" applyFont="1" applyFill="1" applyBorder="1" applyAlignment="1">
      <alignment horizontal="center"/>
    </xf>
    <xf numFmtId="0" fontId="3" fillId="2" borderId="2" xfId="0" applyFont="1" applyFill="1" applyBorder="1" applyAlignment="1">
      <alignment horizontal="center"/>
    </xf>
    <xf numFmtId="0" fontId="7" fillId="2" borderId="1" xfId="0" applyFont="1" applyFill="1" applyBorder="1" applyAlignment="1">
      <alignment horizontal="left" wrapText="1"/>
    </xf>
    <xf numFmtId="0" fontId="0" fillId="0" borderId="1" xfId="0" applyBorder="1" applyAlignment="1">
      <alignment horizontal="left" vertical="center" wrapText="1"/>
    </xf>
    <xf numFmtId="0" fontId="0" fillId="0" borderId="14" xfId="0" applyBorder="1" applyAlignment="1">
      <alignment horizontal="center" wrapText="1"/>
    </xf>
    <xf numFmtId="0" fontId="0" fillId="0" borderId="0" xfId="0" applyAlignment="1">
      <alignment horizontal="center" wrapText="1"/>
    </xf>
    <xf numFmtId="0" fontId="19" fillId="7" borderId="6" xfId="4" applyFont="1" applyBorder="1" applyAlignment="1">
      <alignment horizontal="center" wrapText="1"/>
    </xf>
    <xf numFmtId="0" fontId="3" fillId="2" borderId="7" xfId="0" applyFont="1" applyFill="1" applyBorder="1" applyAlignment="1">
      <alignment horizontal="center" wrapText="1"/>
    </xf>
    <xf numFmtId="0" fontId="3" fillId="2" borderId="8" xfId="0" applyFont="1" applyFill="1" applyBorder="1" applyAlignment="1">
      <alignment horizontal="center"/>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xf>
    <xf numFmtId="0" fontId="0" fillId="0" borderId="0" xfId="0" applyAlignment="1">
      <alignment horizontal="left"/>
    </xf>
  </cellXfs>
  <cellStyles count="5">
    <cellStyle name="Bad" xfId="3" builtinId="27"/>
    <cellStyle name="Check Cell" xfId="1" builtinId="23"/>
    <cellStyle name="Hyperlink" xfId="2" builtinId="8"/>
    <cellStyle name="Neutral" xfId="4"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3171738</xdr:colOff>
      <xdr:row>10</xdr:row>
      <xdr:rowOff>769435</xdr:rowOff>
    </xdr:from>
    <xdr:ext cx="10230045" cy="937629"/>
    <xdr:sp macro="" textlink="">
      <xdr:nvSpPr>
        <xdr:cNvPr id="2" name="Rectangle 1">
          <a:extLst>
            <a:ext uri="{FF2B5EF4-FFF2-40B4-BE49-F238E27FC236}">
              <a16:creationId xmlns:a16="http://schemas.microsoft.com/office/drawing/2014/main" id="{AF61A138-DC9E-816E-6ED2-1C46980D0DF1}"/>
            </a:ext>
          </a:extLst>
        </xdr:cNvPr>
        <xdr:cNvSpPr/>
      </xdr:nvSpPr>
      <xdr:spPr>
        <a:xfrm>
          <a:off x="3781338" y="3055435"/>
          <a:ext cx="10230045"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For Internal refernce only. Dont use</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416560</xdr:colOff>
      <xdr:row>43</xdr:row>
      <xdr:rowOff>56727</xdr:rowOff>
    </xdr:from>
    <xdr:to>
      <xdr:col>5</xdr:col>
      <xdr:colOff>1072489</xdr:colOff>
      <xdr:row>75</xdr:row>
      <xdr:rowOff>110579</xdr:rowOff>
    </xdr:to>
    <xdr:pic>
      <xdr:nvPicPr>
        <xdr:cNvPr id="2" name="Picture 1">
          <a:extLst>
            <a:ext uri="{FF2B5EF4-FFF2-40B4-BE49-F238E27FC236}">
              <a16:creationId xmlns:a16="http://schemas.microsoft.com/office/drawing/2014/main" id="{8CC405CC-9088-788F-1D49-F70F37C7BDF5}"/>
            </a:ext>
          </a:extLst>
        </xdr:cNvPr>
        <xdr:cNvPicPr>
          <a:picLocks noChangeAspect="1"/>
        </xdr:cNvPicPr>
      </xdr:nvPicPr>
      <xdr:blipFill>
        <a:blip xmlns:r="http://schemas.openxmlformats.org/officeDocument/2006/relationships" r:embed="rId1"/>
        <a:stretch>
          <a:fillRect/>
        </a:stretch>
      </xdr:blipFill>
      <xdr:spPr>
        <a:xfrm>
          <a:off x="687493" y="11664527"/>
          <a:ext cx="7031329" cy="60143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5</xdr:row>
      <xdr:rowOff>114300</xdr:rowOff>
    </xdr:from>
    <xdr:to>
      <xdr:col>9</xdr:col>
      <xdr:colOff>552450</xdr:colOff>
      <xdr:row>23</xdr:row>
      <xdr:rowOff>76200</xdr:rowOff>
    </xdr:to>
    <xdr:sp macro="" textlink="">
      <xdr:nvSpPr>
        <xdr:cNvPr id="2" name="TextBox 1">
          <a:extLst>
            <a:ext uri="{FF2B5EF4-FFF2-40B4-BE49-F238E27FC236}">
              <a16:creationId xmlns:a16="http://schemas.microsoft.com/office/drawing/2014/main" id="{4B44FBE7-20DB-D31E-49AE-7C8D5CFA69C2}"/>
            </a:ext>
          </a:extLst>
        </xdr:cNvPr>
        <xdr:cNvSpPr txBox="1"/>
      </xdr:nvSpPr>
      <xdr:spPr>
        <a:xfrm>
          <a:off x="4114800" y="1162050"/>
          <a:ext cx="8715375" cy="439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0" i="0" u="none" strike="noStrike">
              <a:solidFill>
                <a:srgbClr val="FF0000"/>
              </a:solidFill>
              <a:effectLst/>
              <a:latin typeface="+mn-lt"/>
              <a:ea typeface="+mn-ea"/>
              <a:cs typeface="+mn-cs"/>
            </a:rPr>
            <a:t>Out of scope based on discussion with Dev</a:t>
          </a:r>
          <a:r>
            <a:rPr lang="en-IN" sz="4800" b="0" i="0" u="none" strike="noStrike" baseline="0">
              <a:solidFill>
                <a:srgbClr val="FF0000"/>
              </a:solidFill>
              <a:effectLst/>
              <a:latin typeface="+mn-lt"/>
              <a:ea typeface="+mn-ea"/>
              <a:cs typeface="+mn-cs"/>
            </a:rPr>
            <a:t> on 23-Aug-2023 - </a:t>
          </a:r>
          <a:r>
            <a:rPr lang="en-IN" sz="4800" b="0" i="0" u="none" strike="noStrike">
              <a:solidFill>
                <a:srgbClr val="FF0000"/>
              </a:solidFill>
              <a:effectLst/>
              <a:latin typeface="+mn-lt"/>
              <a:ea typeface="+mn-ea"/>
              <a:cs typeface="+mn-cs"/>
            </a:rPr>
            <a:t>7.7.0 due to technical constraints</a:t>
          </a:r>
          <a:r>
            <a:rPr lang="en-IN" sz="4800">
              <a:solidFill>
                <a:srgbClr val="FF0000"/>
              </a:solidFill>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finastra.sharepoint.com/teams/SOAPtoRESTAPI/Shared%20Documents/General/2.%20Loan%20Principal%20Payment/Principal%20Payment%20API%20v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VersionHistory"/>
      <sheetName val="Create"/>
      <sheetName val="Sheet1"/>
      <sheetName val="Update"/>
      <sheetName val="Cancel"/>
      <sheetName val="Delete"/>
      <sheetName val="Search"/>
      <sheetName val="GetByID"/>
      <sheetName val="OutOfScope"/>
      <sheetName val="Loan Change Transaction"/>
    </sheetNames>
    <sheetDataSet>
      <sheetData sheetId="0"/>
      <sheetData sheetId="1"/>
      <sheetData sheetId="2"/>
      <sheetData sheetId="3"/>
      <sheetData sheetId="4">
        <row r="12">
          <cell r="A12">
            <v>7</v>
          </cell>
        </row>
      </sheetData>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404B-DF48-4962-9CC3-4DEB2DFA7F7B}">
  <dimension ref="A1:G7"/>
  <sheetViews>
    <sheetView workbookViewId="0">
      <selection activeCell="D11" sqref="D11"/>
    </sheetView>
  </sheetViews>
  <sheetFormatPr defaultRowHeight="15" x14ac:dyDescent="0.25"/>
  <cols>
    <col min="1" max="1" width="6.7109375" bestFit="1" customWidth="1"/>
    <col min="2" max="2" width="22.28515625" bestFit="1" customWidth="1"/>
    <col min="3" max="3" width="38.85546875" customWidth="1"/>
    <col min="4" max="4" width="107.42578125" bestFit="1" customWidth="1"/>
    <col min="5" max="5" width="13.5703125" customWidth="1"/>
    <col min="6" max="6" width="32.140625" bestFit="1" customWidth="1"/>
  </cols>
  <sheetData>
    <row r="1" spans="1:7" ht="16.5" thickTop="1" thickBot="1" x14ac:dyDescent="0.3">
      <c r="A1" s="13" t="s">
        <v>0</v>
      </c>
      <c r="B1" s="13" t="s">
        <v>1</v>
      </c>
      <c r="C1" s="13" t="s">
        <v>2</v>
      </c>
      <c r="D1" s="13" t="s">
        <v>3</v>
      </c>
      <c r="E1" s="13" t="s">
        <v>4</v>
      </c>
      <c r="F1" s="32" t="s">
        <v>5</v>
      </c>
      <c r="G1" s="18" t="s">
        <v>6</v>
      </c>
    </row>
    <row r="2" spans="1:7" ht="15.75" thickTop="1" x14ac:dyDescent="0.25">
      <c r="A2" s="17">
        <v>1</v>
      </c>
      <c r="B2" s="15" t="s">
        <v>7</v>
      </c>
      <c r="C2" s="16" t="s">
        <v>8</v>
      </c>
      <c r="D2" s="16"/>
      <c r="E2" s="2"/>
    </row>
    <row r="3" spans="1:7" s="24" customFormat="1" x14ac:dyDescent="0.25">
      <c r="A3" s="17">
        <f>A2+1</f>
        <v>2</v>
      </c>
      <c r="B3" s="28" t="s">
        <v>9</v>
      </c>
      <c r="C3" s="16" t="s">
        <v>10</v>
      </c>
      <c r="D3" s="16"/>
      <c r="E3" s="23"/>
    </row>
    <row r="4" spans="1:7" x14ac:dyDescent="0.25">
      <c r="A4" s="17">
        <f t="shared" ref="A4:A7" si="0">A3+1</f>
        <v>3</v>
      </c>
      <c r="B4" s="39" t="s">
        <v>11</v>
      </c>
      <c r="C4" s="40" t="s">
        <v>12</v>
      </c>
      <c r="D4" s="16"/>
      <c r="E4" s="2"/>
    </row>
    <row r="5" spans="1:7" x14ac:dyDescent="0.25">
      <c r="A5" s="17">
        <f t="shared" si="0"/>
        <v>4</v>
      </c>
      <c r="B5" s="39" t="s">
        <v>13</v>
      </c>
      <c r="C5" s="40" t="s">
        <v>14</v>
      </c>
      <c r="D5" s="16"/>
      <c r="E5" s="2"/>
    </row>
    <row r="6" spans="1:7" x14ac:dyDescent="0.25">
      <c r="A6" s="17">
        <f t="shared" si="0"/>
        <v>5</v>
      </c>
      <c r="B6" s="39" t="s">
        <v>15</v>
      </c>
      <c r="C6" s="40" t="s">
        <v>16</v>
      </c>
      <c r="D6" s="16" t="s">
        <v>17</v>
      </c>
      <c r="E6" s="2"/>
    </row>
    <row r="7" spans="1:7" x14ac:dyDescent="0.25">
      <c r="A7" s="17">
        <f t="shared" si="0"/>
        <v>6</v>
      </c>
      <c r="B7" s="15" t="s">
        <v>18</v>
      </c>
      <c r="C7" s="16" t="s">
        <v>19</v>
      </c>
      <c r="D7" s="16"/>
      <c r="E7" s="2"/>
    </row>
  </sheetData>
  <hyperlinks>
    <hyperlink ref="B2" location="Create!A1" display="Create" xr:uid="{983B5362-752A-4FD6-B2E2-97E66C9E7CA2}"/>
    <hyperlink ref="B4" location="Cancel!A1" display="Cancel" xr:uid="{0A73CA75-1936-4BBC-A01C-E208A2EFD943}"/>
    <hyperlink ref="B5" location="Delete!A1" display="Delete" xr:uid="{98624B8D-DC4E-448A-9469-D56180737970}"/>
    <hyperlink ref="B3" location="Update!A1" display="Update" xr:uid="{694ED1D3-E880-4159-804F-C55550B258A5}"/>
    <hyperlink ref="B6" location="Search!A1" display="Search" xr:uid="{03277824-B1C8-45EE-B72E-8AE15F364944}"/>
    <hyperlink ref="B7" location="GetByID!A1" display="GetByID" xr:uid="{BF03E882-F919-4CAC-8075-B584CDC04FB9}"/>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8F21-BD81-41C2-B163-E6FB5351BA37}">
  <dimension ref="A1:D12"/>
  <sheetViews>
    <sheetView workbookViewId="0">
      <selection activeCell="C22" sqref="C22"/>
    </sheetView>
  </sheetViews>
  <sheetFormatPr defaultRowHeight="15" x14ac:dyDescent="0.25"/>
  <cols>
    <col min="1" max="1" width="7.85546875" bestFit="1" customWidth="1"/>
    <col min="2" max="2" width="14.42578125" bestFit="1" customWidth="1"/>
    <col min="3" max="3" width="82" bestFit="1" customWidth="1"/>
    <col min="4" max="4" width="10" bestFit="1" customWidth="1"/>
  </cols>
  <sheetData>
    <row r="1" spans="1:4" x14ac:dyDescent="0.25">
      <c r="A1" s="35" t="s">
        <v>20</v>
      </c>
      <c r="B1" s="35" t="s">
        <v>21</v>
      </c>
      <c r="C1" s="35" t="s">
        <v>22</v>
      </c>
      <c r="D1" s="35" t="s">
        <v>23</v>
      </c>
    </row>
    <row r="2" spans="1:4" x14ac:dyDescent="0.25">
      <c r="A2" s="61">
        <v>1</v>
      </c>
      <c r="B2" s="20" t="s">
        <v>24</v>
      </c>
      <c r="C2" s="2" t="s">
        <v>25</v>
      </c>
      <c r="D2" s="36">
        <v>45253</v>
      </c>
    </row>
    <row r="3" spans="1:4" x14ac:dyDescent="0.25">
      <c r="A3" s="20">
        <v>1.1000000000000001</v>
      </c>
      <c r="B3" s="20" t="s">
        <v>24</v>
      </c>
      <c r="C3" s="2" t="s">
        <v>26</v>
      </c>
      <c r="D3" s="36">
        <v>45261</v>
      </c>
    </row>
    <row r="4" spans="1:4" x14ac:dyDescent="0.25">
      <c r="A4" s="66">
        <v>1.2</v>
      </c>
      <c r="B4" s="66" t="s">
        <v>27</v>
      </c>
      <c r="C4" s="59" t="s">
        <v>28</v>
      </c>
      <c r="D4" s="56">
        <v>45275</v>
      </c>
    </row>
    <row r="5" spans="1:4" x14ac:dyDescent="0.25">
      <c r="A5" s="66"/>
      <c r="B5" s="66"/>
      <c r="C5" s="60" t="s">
        <v>29</v>
      </c>
      <c r="D5" s="56">
        <f>D4</f>
        <v>45275</v>
      </c>
    </row>
    <row r="6" spans="1:4" x14ac:dyDescent="0.25">
      <c r="A6" s="66"/>
      <c r="B6" s="66"/>
      <c r="C6" s="60" t="s">
        <v>30</v>
      </c>
      <c r="D6" s="56">
        <f>D5</f>
        <v>45275</v>
      </c>
    </row>
    <row r="7" spans="1:4" x14ac:dyDescent="0.25">
      <c r="A7" s="66"/>
      <c r="B7" s="66"/>
      <c r="C7" s="26" t="s">
        <v>31</v>
      </c>
      <c r="D7" s="56">
        <f>D6</f>
        <v>45275</v>
      </c>
    </row>
    <row r="8" spans="1:4" ht="30" x14ac:dyDescent="0.25">
      <c r="A8" s="20">
        <v>1.3</v>
      </c>
      <c r="B8" s="20" t="s">
        <v>27</v>
      </c>
      <c r="C8" s="57" t="s">
        <v>32</v>
      </c>
      <c r="D8" s="36">
        <v>45280</v>
      </c>
    </row>
    <row r="9" spans="1:4" x14ac:dyDescent="0.25">
      <c r="A9" s="20">
        <v>1.4</v>
      </c>
      <c r="B9" s="20" t="s">
        <v>27</v>
      </c>
      <c r="C9" s="58" t="s">
        <v>33</v>
      </c>
      <c r="D9" s="36">
        <v>44934</v>
      </c>
    </row>
    <row r="10" spans="1:4" x14ac:dyDescent="0.25">
      <c r="A10" s="20">
        <v>1.5</v>
      </c>
      <c r="B10" s="20" t="s">
        <v>24</v>
      </c>
      <c r="C10" s="2" t="s">
        <v>34</v>
      </c>
      <c r="D10" s="36">
        <v>44943</v>
      </c>
    </row>
    <row r="11" spans="1:4" x14ac:dyDescent="0.25">
      <c r="A11" s="20">
        <v>1.6</v>
      </c>
      <c r="B11" s="20" t="s">
        <v>27</v>
      </c>
      <c r="C11" s="2" t="s">
        <v>35</v>
      </c>
      <c r="D11" s="36">
        <v>45310</v>
      </c>
    </row>
    <row r="12" spans="1:4" x14ac:dyDescent="0.25">
      <c r="A12" s="20">
        <v>1.7</v>
      </c>
      <c r="B12" s="20" t="s">
        <v>27</v>
      </c>
      <c r="C12" s="2" t="s">
        <v>36</v>
      </c>
      <c r="D12" s="36">
        <v>45331</v>
      </c>
    </row>
  </sheetData>
  <mergeCells count="2">
    <mergeCell ref="A4:A7"/>
    <mergeCell ref="B4:B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62C33-095E-4103-B008-03879D66799D}">
  <dimension ref="A1:Q28"/>
  <sheetViews>
    <sheetView zoomScale="70" zoomScaleNormal="70" workbookViewId="0">
      <selection activeCell="A2" sqref="A2:XFD2"/>
    </sheetView>
  </sheetViews>
  <sheetFormatPr defaultRowHeight="15" x14ac:dyDescent="0.25"/>
  <cols>
    <col min="1" max="1" width="17.28515625" bestFit="1" customWidth="1"/>
    <col min="2" max="2" width="51" bestFit="1" customWidth="1"/>
    <col min="5" max="5" width="40" customWidth="1"/>
    <col min="6" max="6" width="50.5703125" customWidth="1"/>
    <col min="7" max="7" width="15.85546875" customWidth="1"/>
    <col min="8" max="8" width="6.85546875" customWidth="1"/>
    <col min="9" max="9" width="61.5703125" style="1" customWidth="1"/>
    <col min="10" max="10" width="10.85546875" customWidth="1"/>
    <col min="13" max="13" width="26.85546875" bestFit="1" customWidth="1"/>
  </cols>
  <sheetData>
    <row r="1" spans="1:17" s="4" customFormat="1" ht="18.75" x14ac:dyDescent="0.3">
      <c r="A1" s="70" t="s">
        <v>37</v>
      </c>
      <c r="B1" s="70"/>
      <c r="C1" s="70"/>
      <c r="D1" s="70"/>
      <c r="E1" s="70"/>
      <c r="F1" s="70"/>
      <c r="G1" s="70"/>
      <c r="H1" s="70"/>
      <c r="I1" s="70"/>
      <c r="J1" s="70"/>
      <c r="K1" s="70"/>
      <c r="L1" s="70"/>
      <c r="M1" s="70"/>
      <c r="N1" s="70"/>
    </row>
    <row r="2" spans="1:17" s="4" customFormat="1" ht="18.75" x14ac:dyDescent="0.3">
      <c r="A2" s="65" t="s">
        <v>786</v>
      </c>
      <c r="B2" s="65" t="s">
        <v>787</v>
      </c>
      <c r="C2" s="65"/>
      <c r="D2" s="65"/>
      <c r="E2" s="65"/>
      <c r="F2" s="65"/>
      <c r="G2" s="65"/>
      <c r="H2" s="65"/>
      <c r="I2" s="65"/>
      <c r="J2" s="65"/>
      <c r="K2" s="65"/>
      <c r="L2" s="65"/>
      <c r="M2" s="65"/>
      <c r="N2" s="65"/>
    </row>
    <row r="3" spans="1:17" ht="18.75" x14ac:dyDescent="0.3">
      <c r="A3" s="71" t="s">
        <v>38</v>
      </c>
      <c r="B3" s="71"/>
      <c r="C3" s="71"/>
      <c r="D3" s="71"/>
      <c r="E3" s="71"/>
      <c r="F3" s="71"/>
      <c r="G3" s="71"/>
      <c r="H3" s="71"/>
      <c r="I3" s="71"/>
      <c r="J3" s="71"/>
      <c r="K3" s="71"/>
      <c r="L3" s="71"/>
      <c r="M3" s="71"/>
      <c r="N3" s="71"/>
    </row>
    <row r="4" spans="1:17" x14ac:dyDescent="0.25">
      <c r="A4" s="73" t="s">
        <v>39</v>
      </c>
      <c r="B4" s="73"/>
      <c r="C4" s="73"/>
      <c r="D4" s="73"/>
      <c r="E4" s="73"/>
      <c r="F4" s="73"/>
      <c r="G4" s="73"/>
      <c r="H4" s="73"/>
      <c r="I4" s="73"/>
      <c r="J4" s="73"/>
      <c r="K4" s="73"/>
      <c r="L4" s="73"/>
      <c r="M4" s="73"/>
      <c r="N4" s="73"/>
    </row>
    <row r="5" spans="1:17" ht="18.75" x14ac:dyDescent="0.3">
      <c r="A5" s="72" t="s">
        <v>40</v>
      </c>
      <c r="B5" s="72"/>
      <c r="C5" s="72"/>
      <c r="D5" s="72"/>
      <c r="E5" s="72"/>
      <c r="F5" s="72"/>
      <c r="G5" s="72"/>
      <c r="H5" s="72"/>
      <c r="I5" s="72"/>
      <c r="J5" s="72"/>
      <c r="K5" s="72"/>
      <c r="L5" s="72"/>
      <c r="M5" s="72"/>
      <c r="N5" s="72"/>
    </row>
    <row r="6" spans="1:17" ht="120" x14ac:dyDescent="0.25">
      <c r="A6" s="5" t="s">
        <v>41</v>
      </c>
      <c r="B6" s="5" t="s">
        <v>42</v>
      </c>
      <c r="C6" s="5" t="s">
        <v>43</v>
      </c>
      <c r="D6" s="5" t="s">
        <v>44</v>
      </c>
      <c r="E6" s="5" t="s">
        <v>45</v>
      </c>
      <c r="F6" s="5" t="s">
        <v>46</v>
      </c>
      <c r="G6" s="5" t="s">
        <v>47</v>
      </c>
      <c r="H6" s="5" t="s">
        <v>48</v>
      </c>
      <c r="I6" s="5" t="s">
        <v>49</v>
      </c>
      <c r="J6" s="5" t="s">
        <v>50</v>
      </c>
      <c r="K6" s="5" t="s">
        <v>51</v>
      </c>
      <c r="L6" s="5" t="s">
        <v>52</v>
      </c>
      <c r="M6" s="5" t="s">
        <v>53</v>
      </c>
      <c r="N6" s="6" t="s">
        <v>54</v>
      </c>
      <c r="O6" s="9" t="s">
        <v>55</v>
      </c>
      <c r="P6" s="9" t="s">
        <v>56</v>
      </c>
      <c r="Q6" s="9" t="s">
        <v>57</v>
      </c>
    </row>
    <row r="7" spans="1:17" ht="225" x14ac:dyDescent="0.25">
      <c r="A7" s="2">
        <v>1</v>
      </c>
      <c r="B7" s="2"/>
      <c r="C7" s="2"/>
      <c r="D7" s="2"/>
      <c r="E7" s="2"/>
      <c r="F7" s="2" t="s">
        <v>58</v>
      </c>
      <c r="G7" s="2" t="s">
        <v>59</v>
      </c>
      <c r="H7" s="2" t="s">
        <v>60</v>
      </c>
      <c r="I7" s="3" t="s">
        <v>61</v>
      </c>
      <c r="J7" s="2"/>
      <c r="K7" s="2" t="s">
        <v>62</v>
      </c>
      <c r="L7" s="2"/>
      <c r="M7" s="2"/>
      <c r="N7" s="2"/>
      <c r="O7" s="2"/>
      <c r="P7" s="2" t="s">
        <v>60</v>
      </c>
      <c r="Q7" s="2" t="s">
        <v>60</v>
      </c>
    </row>
    <row r="8" spans="1:17" ht="120" x14ac:dyDescent="0.25">
      <c r="A8" s="17" cm="1">
        <f t="array" aca="1" ref="A8" ca="1">INDIRECT(ADDRESS(ROW()-1,COLUMN()))+1</f>
        <v>2</v>
      </c>
      <c r="B8" s="2"/>
      <c r="C8" s="2"/>
      <c r="D8" s="2"/>
      <c r="E8" s="2"/>
      <c r="F8" s="2" t="s">
        <v>63</v>
      </c>
      <c r="G8" s="2" t="s">
        <v>23</v>
      </c>
      <c r="H8" s="2" t="s">
        <v>60</v>
      </c>
      <c r="I8" s="3" t="s">
        <v>64</v>
      </c>
      <c r="J8" s="2"/>
      <c r="K8" s="2" t="s">
        <v>62</v>
      </c>
      <c r="L8" s="2"/>
      <c r="M8" s="2"/>
      <c r="N8" s="2"/>
      <c r="O8" s="2"/>
      <c r="P8" s="2" t="s">
        <v>60</v>
      </c>
      <c r="Q8" s="2" t="s">
        <v>60</v>
      </c>
    </row>
    <row r="9" spans="1:17" ht="150" x14ac:dyDescent="0.25">
      <c r="A9" s="17" cm="1">
        <f t="array" aca="1" ref="A9" ca="1">INDIRECT(ADDRESS(ROW()-1,COLUMN()))+1</f>
        <v>3</v>
      </c>
      <c r="B9" s="2"/>
      <c r="C9" s="2"/>
      <c r="D9" s="2"/>
      <c r="E9" s="2"/>
      <c r="F9" s="2" t="s">
        <v>65</v>
      </c>
      <c r="G9" s="2" t="s">
        <v>59</v>
      </c>
      <c r="H9" s="74" t="s">
        <v>62</v>
      </c>
      <c r="I9" s="3" t="s">
        <v>66</v>
      </c>
      <c r="J9" s="2"/>
      <c r="K9" s="2" t="s">
        <v>62</v>
      </c>
      <c r="L9" s="2"/>
      <c r="M9" s="2"/>
      <c r="N9" s="2"/>
      <c r="O9" s="2"/>
      <c r="P9" s="2" t="s">
        <v>60</v>
      </c>
      <c r="Q9" s="2" t="s">
        <v>60</v>
      </c>
    </row>
    <row r="10" spans="1:17" ht="75" x14ac:dyDescent="0.25">
      <c r="A10" s="17" cm="1">
        <f t="array" aca="1" ref="A10" ca="1">INDIRECT(ADDRESS(ROW()-1,COLUMN()))+1</f>
        <v>4</v>
      </c>
      <c r="B10" s="2"/>
      <c r="C10" s="2"/>
      <c r="D10" s="2"/>
      <c r="E10" s="2"/>
      <c r="F10" s="2" t="s">
        <v>67</v>
      </c>
      <c r="G10" s="2" t="s">
        <v>59</v>
      </c>
      <c r="H10" s="75"/>
      <c r="I10" s="1" t="s">
        <v>68</v>
      </c>
      <c r="J10" s="2"/>
      <c r="K10" s="2"/>
      <c r="L10" s="2"/>
      <c r="M10" s="2"/>
      <c r="N10" s="2"/>
      <c r="O10" s="2"/>
      <c r="P10" s="2" t="s">
        <v>62</v>
      </c>
      <c r="Q10" s="2"/>
    </row>
    <row r="11" spans="1:17" ht="45" x14ac:dyDescent="0.25">
      <c r="A11" s="17" cm="1">
        <f t="array" aca="1" ref="A11" ca="1">INDIRECT(ADDRESS(ROW()-1,COLUMN()))+1</f>
        <v>5</v>
      </c>
      <c r="B11" s="2"/>
      <c r="C11" s="2"/>
      <c r="D11" s="2"/>
      <c r="E11" s="2"/>
      <c r="F11" s="2" t="s">
        <v>69</v>
      </c>
      <c r="G11" s="2" t="s">
        <v>23</v>
      </c>
      <c r="H11" s="2" t="s">
        <v>62</v>
      </c>
      <c r="I11" s="3" t="s">
        <v>70</v>
      </c>
      <c r="J11" s="2"/>
      <c r="K11" s="2"/>
      <c r="L11" s="2"/>
      <c r="M11" s="2"/>
      <c r="N11" s="2"/>
      <c r="O11" s="2"/>
      <c r="P11" s="2" t="s">
        <v>60</v>
      </c>
      <c r="Q11" s="2" t="s">
        <v>60</v>
      </c>
    </row>
    <row r="12" spans="1:17" ht="75" x14ac:dyDescent="0.25">
      <c r="A12" s="17" cm="1">
        <f t="array" aca="1" ref="A12" ca="1">INDIRECT(ADDRESS(ROW()-1,COLUMN()))+1</f>
        <v>6</v>
      </c>
      <c r="B12" s="2"/>
      <c r="C12" s="2"/>
      <c r="D12" s="2"/>
      <c r="E12" s="2"/>
      <c r="F12" s="2" t="s">
        <v>71</v>
      </c>
      <c r="G12" s="2" t="s">
        <v>23</v>
      </c>
      <c r="H12" s="2" t="s">
        <v>62</v>
      </c>
      <c r="I12" s="3" t="s">
        <v>72</v>
      </c>
      <c r="J12" s="2"/>
      <c r="K12" s="2"/>
      <c r="L12" s="2"/>
      <c r="M12" s="2"/>
      <c r="N12" s="2"/>
      <c r="O12" s="2"/>
      <c r="P12" s="2" t="s">
        <v>60</v>
      </c>
      <c r="Q12" s="2"/>
    </row>
    <row r="13" spans="1:17" x14ac:dyDescent="0.25">
      <c r="A13" s="17" cm="1">
        <f t="array" aca="1" ref="A13" ca="1">INDIRECT(ADDRESS(ROW()-1,COLUMN()))+1</f>
        <v>7</v>
      </c>
      <c r="B13" s="2"/>
      <c r="C13" s="2"/>
      <c r="D13" s="2"/>
      <c r="E13" s="2"/>
      <c r="F13" s="2" t="s">
        <v>73</v>
      </c>
      <c r="G13" s="2" t="s">
        <v>59</v>
      </c>
      <c r="H13" s="2" t="s">
        <v>62</v>
      </c>
      <c r="I13" s="3" t="s">
        <v>74</v>
      </c>
      <c r="J13" s="2"/>
      <c r="K13" s="2" t="s">
        <v>62</v>
      </c>
      <c r="L13" s="2"/>
      <c r="M13" s="2"/>
      <c r="N13" s="2"/>
      <c r="O13" s="2"/>
      <c r="P13" s="2" t="s">
        <v>60</v>
      </c>
      <c r="Q13" s="2"/>
    </row>
    <row r="14" spans="1:17" x14ac:dyDescent="0.25">
      <c r="A14" s="17" cm="1">
        <f t="array" aca="1" ref="A14" ca="1">INDIRECT(ADDRESS(ROW()-1,COLUMN()))+1</f>
        <v>8</v>
      </c>
      <c r="B14" s="2"/>
      <c r="C14" s="2"/>
      <c r="D14" s="2"/>
      <c r="E14" s="2"/>
      <c r="F14" s="2" t="s">
        <v>75</v>
      </c>
      <c r="G14" s="2" t="s">
        <v>76</v>
      </c>
      <c r="H14" s="2" t="s">
        <v>62</v>
      </c>
      <c r="I14" s="3" t="s">
        <v>77</v>
      </c>
      <c r="J14" s="2"/>
      <c r="K14" s="2"/>
      <c r="L14" s="2"/>
      <c r="M14" s="2"/>
      <c r="N14" s="2"/>
      <c r="O14" s="2"/>
      <c r="P14" s="2" t="s">
        <v>60</v>
      </c>
      <c r="Q14" s="2"/>
    </row>
    <row r="15" spans="1:17" x14ac:dyDescent="0.25">
      <c r="A15" s="17" cm="1">
        <f t="array" aca="1" ref="A15" ca="1">INDIRECT(ADDRESS(ROW()-1,COLUMN()))+1</f>
        <v>9</v>
      </c>
      <c r="B15" s="2"/>
      <c r="C15" s="2"/>
      <c r="D15" s="2"/>
      <c r="E15" s="2"/>
      <c r="F15" s="2" t="s">
        <v>78</v>
      </c>
      <c r="G15" s="2" t="s">
        <v>59</v>
      </c>
      <c r="H15" s="2" t="s">
        <v>62</v>
      </c>
      <c r="I15" s="3" t="s">
        <v>79</v>
      </c>
      <c r="J15" s="2"/>
      <c r="K15" s="2"/>
      <c r="L15" s="2"/>
      <c r="M15" s="2"/>
      <c r="N15" s="2"/>
      <c r="O15" s="2"/>
      <c r="P15" s="2" t="s">
        <v>60</v>
      </c>
      <c r="Q15" s="2"/>
    </row>
    <row r="16" spans="1:17" ht="225" x14ac:dyDescent="0.25">
      <c r="A16" s="17" cm="1">
        <f t="array" aca="1" ref="A16" ca="1">INDIRECT(ADDRESS(ROW()-1,COLUMN()))+1</f>
        <v>10</v>
      </c>
      <c r="B16" s="2"/>
      <c r="C16" s="2"/>
      <c r="D16" s="2"/>
      <c r="E16" s="2"/>
      <c r="F16" t="s">
        <v>80</v>
      </c>
      <c r="G16" s="2" t="s">
        <v>59</v>
      </c>
      <c r="H16" s="2" t="s">
        <v>62</v>
      </c>
      <c r="I16" s="1" t="s">
        <v>81</v>
      </c>
      <c r="J16" s="2"/>
      <c r="K16" s="2" t="s">
        <v>62</v>
      </c>
      <c r="L16" s="2"/>
      <c r="M16" s="2" t="s">
        <v>60</v>
      </c>
      <c r="N16" s="2" t="s">
        <v>82</v>
      </c>
      <c r="O16" s="2"/>
      <c r="P16" s="2" t="s">
        <v>60</v>
      </c>
      <c r="Q16" s="2"/>
    </row>
    <row r="17" spans="1:17" x14ac:dyDescent="0.25">
      <c r="A17" s="17" cm="1">
        <f t="array" aca="1" ref="A17" ca="1">INDIRECT(ADDRESS(ROW()-1,COLUMN()))+1</f>
        <v>11</v>
      </c>
      <c r="B17" s="2"/>
      <c r="C17" s="2"/>
      <c r="D17" s="2"/>
      <c r="E17" s="2"/>
      <c r="F17" s="2" t="s">
        <v>83</v>
      </c>
      <c r="G17" s="2" t="s">
        <v>59</v>
      </c>
      <c r="H17" s="2" t="s">
        <v>62</v>
      </c>
      <c r="I17" s="3" t="s">
        <v>84</v>
      </c>
      <c r="J17" s="2"/>
      <c r="K17" s="2"/>
      <c r="L17" s="2"/>
      <c r="M17" s="2"/>
      <c r="N17" s="2"/>
      <c r="O17" s="2"/>
      <c r="P17" s="2" t="s">
        <v>60</v>
      </c>
    </row>
    <row r="18" spans="1:17" ht="30" x14ac:dyDescent="0.25">
      <c r="A18" s="17" cm="1">
        <f t="array" aca="1" ref="A18" ca="1">INDIRECT(ADDRESS(ROW()-1,COLUMN()))+1</f>
        <v>12</v>
      </c>
      <c r="B18" s="2"/>
      <c r="C18" s="2"/>
      <c r="D18" s="2"/>
      <c r="E18" s="2"/>
      <c r="F18" s="2" t="s">
        <v>85</v>
      </c>
      <c r="G18" s="2" t="s">
        <v>76</v>
      </c>
      <c r="H18" s="2" t="s">
        <v>62</v>
      </c>
      <c r="I18" s="3" t="s">
        <v>86</v>
      </c>
      <c r="J18" s="2"/>
      <c r="K18" s="2"/>
      <c r="L18" s="2"/>
      <c r="M18" s="2"/>
      <c r="N18" s="2"/>
      <c r="O18" s="2"/>
      <c r="P18" s="2" t="s">
        <v>60</v>
      </c>
    </row>
    <row r="19" spans="1:17" ht="45" x14ac:dyDescent="0.25">
      <c r="A19" s="17" cm="1">
        <f t="array" aca="1" ref="A19" ca="1">INDIRECT(ADDRESS(ROW()-1,COLUMN()))+1</f>
        <v>13</v>
      </c>
      <c r="B19" s="2"/>
      <c r="C19" s="2"/>
      <c r="D19" s="2"/>
      <c r="E19" s="2"/>
      <c r="F19" s="2" t="s">
        <v>87</v>
      </c>
      <c r="G19" s="2" t="s">
        <v>59</v>
      </c>
      <c r="H19" s="2" t="s">
        <v>62</v>
      </c>
      <c r="I19" s="3" t="s">
        <v>88</v>
      </c>
      <c r="J19" s="3" t="s">
        <v>89</v>
      </c>
      <c r="K19" s="2"/>
      <c r="L19" s="2"/>
      <c r="M19" s="2"/>
      <c r="N19" s="2" t="s">
        <v>90</v>
      </c>
      <c r="O19" s="2"/>
      <c r="P19" s="2" t="s">
        <v>60</v>
      </c>
      <c r="Q19" s="2"/>
    </row>
    <row r="20" spans="1:17" ht="45" x14ac:dyDescent="0.25">
      <c r="A20" s="17" cm="1">
        <f t="array" aca="1" ref="A20" ca="1">INDIRECT(ADDRESS(ROW()-1,COLUMN()))+1</f>
        <v>14</v>
      </c>
      <c r="B20" s="2"/>
      <c r="C20" s="2"/>
      <c r="D20" s="2"/>
      <c r="E20" s="2"/>
      <c r="F20" s="2" t="s">
        <v>91</v>
      </c>
      <c r="G20" s="2" t="s">
        <v>59</v>
      </c>
      <c r="H20" s="2" t="s">
        <v>62</v>
      </c>
      <c r="I20" s="3" t="s">
        <v>92</v>
      </c>
      <c r="J20" s="3" t="s">
        <v>89</v>
      </c>
      <c r="K20" s="2"/>
      <c r="L20" s="2"/>
      <c r="M20" s="2"/>
      <c r="N20" s="2"/>
      <c r="O20" s="2"/>
      <c r="P20" s="2" t="s">
        <v>60</v>
      </c>
      <c r="Q20" s="2"/>
    </row>
    <row r="21" spans="1:17" s="1" customFormat="1" ht="285" x14ac:dyDescent="0.25">
      <c r="A21" s="17" cm="1">
        <f t="array" aca="1" ref="A21" ca="1">INDIRECT(ADDRESS(ROW()-1,COLUMN()))+1</f>
        <v>15</v>
      </c>
      <c r="B21" s="3"/>
      <c r="C21" s="3"/>
      <c r="D21" s="3"/>
      <c r="E21" s="3"/>
      <c r="F21" s="3" t="s">
        <v>93</v>
      </c>
      <c r="G21" s="3" t="s">
        <v>94</v>
      </c>
      <c r="H21" s="3" t="s">
        <v>95</v>
      </c>
      <c r="I21" s="3" t="s">
        <v>96</v>
      </c>
      <c r="J21" s="3"/>
      <c r="K21" s="3"/>
      <c r="L21" s="3"/>
      <c r="M21" s="3"/>
      <c r="N21" s="3"/>
      <c r="O21" s="3"/>
      <c r="P21" s="3" t="s">
        <v>60</v>
      </c>
      <c r="Q21" s="3"/>
    </row>
    <row r="22" spans="1:17" ht="18.75" x14ac:dyDescent="0.3">
      <c r="A22" s="67" t="s">
        <v>97</v>
      </c>
      <c r="B22" s="68"/>
      <c r="C22" s="68"/>
      <c r="D22" s="68"/>
      <c r="E22" s="68"/>
      <c r="F22" s="68"/>
      <c r="G22" s="68"/>
      <c r="H22" s="68"/>
      <c r="I22" s="68"/>
      <c r="J22" s="68"/>
      <c r="K22" s="68"/>
      <c r="L22" s="68"/>
      <c r="M22" s="68"/>
      <c r="N22" s="69"/>
    </row>
    <row r="23" spans="1:17" ht="120" x14ac:dyDescent="0.25">
      <c r="A23" s="11" t="s">
        <v>41</v>
      </c>
      <c r="B23" s="5" t="s">
        <v>42</v>
      </c>
      <c r="C23" s="5" t="s">
        <v>43</v>
      </c>
      <c r="D23" s="5" t="s">
        <v>44</v>
      </c>
      <c r="E23" s="5" t="s">
        <v>46</v>
      </c>
      <c r="F23" s="5" t="s">
        <v>47</v>
      </c>
      <c r="G23" s="5" t="s">
        <v>48</v>
      </c>
      <c r="H23" s="5" t="s">
        <v>51</v>
      </c>
      <c r="I23" s="5" t="s">
        <v>49</v>
      </c>
      <c r="J23" s="5" t="s">
        <v>52</v>
      </c>
      <c r="K23" s="5" t="s">
        <v>53</v>
      </c>
      <c r="L23" s="6" t="s">
        <v>54</v>
      </c>
      <c r="M23" s="9" t="s">
        <v>55</v>
      </c>
      <c r="N23" s="9" t="s">
        <v>56</v>
      </c>
    </row>
    <row r="24" spans="1:17" x14ac:dyDescent="0.25">
      <c r="A24" s="17">
        <v>1</v>
      </c>
      <c r="B24" s="2" t="s">
        <v>98</v>
      </c>
      <c r="C24" s="2" t="s">
        <v>62</v>
      </c>
      <c r="D24" s="2" t="s">
        <v>60</v>
      </c>
      <c r="E24" s="2" t="s">
        <v>99</v>
      </c>
      <c r="F24" s="2" t="s">
        <v>76</v>
      </c>
      <c r="G24" s="12" t="s">
        <v>60</v>
      </c>
      <c r="H24" s="12" t="s">
        <v>62</v>
      </c>
      <c r="I24" s="3" t="s">
        <v>100</v>
      </c>
      <c r="J24" s="2"/>
      <c r="K24" s="2"/>
      <c r="L24" s="2"/>
      <c r="M24" s="2"/>
      <c r="N24" s="2"/>
    </row>
    <row r="25" spans="1:17" x14ac:dyDescent="0.25">
      <c r="A25" s="17">
        <f>A24+1</f>
        <v>2</v>
      </c>
      <c r="B25" s="2" t="s">
        <v>98</v>
      </c>
      <c r="C25" s="2" t="s">
        <v>60</v>
      </c>
      <c r="D25" s="2"/>
      <c r="E25" s="2" t="s">
        <v>101</v>
      </c>
      <c r="F25" s="2" t="s">
        <v>59</v>
      </c>
      <c r="G25" s="12" t="s">
        <v>60</v>
      </c>
      <c r="H25" s="12" t="s">
        <v>60</v>
      </c>
      <c r="I25" s="3" t="s">
        <v>102</v>
      </c>
      <c r="J25" s="2"/>
      <c r="K25" s="2"/>
      <c r="L25" s="2"/>
      <c r="M25" s="2"/>
      <c r="N25" s="2"/>
    </row>
    <row r="26" spans="1:17" x14ac:dyDescent="0.25">
      <c r="A26" s="17">
        <f t="shared" ref="A26:A27" si="0">A25+1</f>
        <v>3</v>
      </c>
      <c r="B26" s="2" t="s">
        <v>98</v>
      </c>
      <c r="C26" s="2" t="s">
        <v>62</v>
      </c>
      <c r="D26" s="2"/>
      <c r="E26" s="2" t="s">
        <v>103</v>
      </c>
      <c r="F26" s="2" t="s">
        <v>59</v>
      </c>
      <c r="G26" s="12" t="s">
        <v>60</v>
      </c>
      <c r="H26" s="12" t="s">
        <v>62</v>
      </c>
      <c r="I26" s="3" t="s">
        <v>104</v>
      </c>
      <c r="J26" s="2"/>
      <c r="K26" s="2"/>
      <c r="L26" s="2"/>
      <c r="M26" s="2"/>
      <c r="N26" s="2" t="s">
        <v>62</v>
      </c>
    </row>
    <row r="27" spans="1:17" x14ac:dyDescent="0.25">
      <c r="A27" s="17">
        <f t="shared" si="0"/>
        <v>4</v>
      </c>
      <c r="B27" s="2" t="s">
        <v>98</v>
      </c>
      <c r="C27" s="2" t="s">
        <v>62</v>
      </c>
      <c r="D27" s="2"/>
      <c r="E27" s="2" t="s">
        <v>105</v>
      </c>
      <c r="F27" s="2" t="s">
        <v>106</v>
      </c>
      <c r="G27" s="12" t="s">
        <v>60</v>
      </c>
      <c r="H27" s="12" t="s">
        <v>62</v>
      </c>
      <c r="I27" s="3" t="s">
        <v>107</v>
      </c>
      <c r="J27" s="2"/>
      <c r="K27" s="2"/>
      <c r="L27" s="2"/>
      <c r="M27" s="2"/>
      <c r="N27" s="2" t="s">
        <v>62</v>
      </c>
    </row>
    <row r="28" spans="1:17" x14ac:dyDescent="0.25">
      <c r="A28" s="14" t="s">
        <v>108</v>
      </c>
    </row>
  </sheetData>
  <autoFilter ref="A6:P28" xr:uid="{C4562C33-095E-4103-B008-03879D66799D}"/>
  <mergeCells count="6">
    <mergeCell ref="A22:N22"/>
    <mergeCell ref="A1:N1"/>
    <mergeCell ref="A3:N3"/>
    <mergeCell ref="A5:N5"/>
    <mergeCell ref="A4:N4"/>
    <mergeCell ref="H9:H10"/>
  </mergeCells>
  <hyperlinks>
    <hyperlink ref="A28" location="Index!A1" display="Back to Index" xr:uid="{507B2FF7-EFED-45E9-8DA9-54388F11BE2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28DD-7D9E-4F69-A545-F0C75896CB2C}">
  <dimension ref="A2:Q92"/>
  <sheetViews>
    <sheetView topLeftCell="A20" workbookViewId="0">
      <selection activeCell="B20" sqref="B20"/>
    </sheetView>
  </sheetViews>
  <sheetFormatPr defaultRowHeight="15" x14ac:dyDescent="0.25"/>
  <cols>
    <col min="2" max="2" width="74.85546875" bestFit="1" customWidth="1"/>
    <col min="6" max="6" width="36" bestFit="1" customWidth="1"/>
    <col min="9" max="9" width="37.7109375" customWidth="1"/>
  </cols>
  <sheetData>
    <row r="2" spans="1:15" ht="30" x14ac:dyDescent="0.25">
      <c r="A2" s="16" t="e">
        <f>Create!#REF!+1</f>
        <v>#REF!</v>
      </c>
      <c r="B2" s="2" t="s">
        <v>109</v>
      </c>
      <c r="C2" s="2"/>
      <c r="D2" s="2"/>
      <c r="E2" s="2"/>
      <c r="F2" s="2" t="s">
        <v>110</v>
      </c>
      <c r="G2" s="10" t="s">
        <v>94</v>
      </c>
      <c r="H2" s="2" t="s">
        <v>60</v>
      </c>
      <c r="I2" s="3" t="s">
        <v>111</v>
      </c>
      <c r="J2" s="2"/>
      <c r="K2" s="2"/>
      <c r="L2" s="2"/>
      <c r="M2" s="2"/>
      <c r="N2" s="2"/>
      <c r="O2" s="2"/>
    </row>
    <row r="3" spans="1:15" x14ac:dyDescent="0.25">
      <c r="A3" s="16" t="e">
        <f t="shared" ref="A3:A34" si="0">A2+1</f>
        <v>#REF!</v>
      </c>
      <c r="B3" s="2" t="s">
        <v>109</v>
      </c>
      <c r="C3" s="2"/>
      <c r="D3" s="2"/>
      <c r="E3" s="2"/>
      <c r="F3" s="2" t="s">
        <v>112</v>
      </c>
      <c r="G3" s="10" t="s">
        <v>59</v>
      </c>
      <c r="H3" s="2" t="s">
        <v>60</v>
      </c>
      <c r="I3" s="3" t="s">
        <v>113</v>
      </c>
      <c r="J3" s="2"/>
      <c r="K3" s="2"/>
      <c r="L3" s="2"/>
      <c r="M3" s="2"/>
      <c r="N3" s="2"/>
      <c r="O3" s="2"/>
    </row>
    <row r="4" spans="1:15" ht="90" x14ac:dyDescent="0.25">
      <c r="A4" s="16" t="e">
        <f t="shared" si="0"/>
        <v>#REF!</v>
      </c>
      <c r="B4" s="2" t="s">
        <v>109</v>
      </c>
      <c r="C4" s="2"/>
      <c r="D4" s="2"/>
      <c r="E4" s="2"/>
      <c r="F4" s="2" t="s">
        <v>114</v>
      </c>
      <c r="G4" s="10" t="s">
        <v>59</v>
      </c>
      <c r="H4" s="2" t="s">
        <v>60</v>
      </c>
      <c r="I4" s="3" t="s">
        <v>115</v>
      </c>
      <c r="J4" s="2"/>
      <c r="K4" s="2"/>
      <c r="L4" s="2"/>
      <c r="M4" s="2"/>
      <c r="N4" s="2"/>
      <c r="O4" s="2"/>
    </row>
    <row r="5" spans="1:15" ht="30" x14ac:dyDescent="0.25">
      <c r="A5" s="16" t="e">
        <f t="shared" si="0"/>
        <v>#REF!</v>
      </c>
      <c r="B5" s="2" t="s">
        <v>116</v>
      </c>
      <c r="C5" s="2"/>
      <c r="D5" s="2"/>
      <c r="E5" s="2"/>
      <c r="F5" s="2" t="s">
        <v>110</v>
      </c>
      <c r="G5" s="10" t="s">
        <v>94</v>
      </c>
      <c r="H5" s="2" t="s">
        <v>60</v>
      </c>
      <c r="I5" s="3" t="s">
        <v>117</v>
      </c>
      <c r="J5" s="2"/>
      <c r="K5" s="2"/>
      <c r="L5" s="2"/>
      <c r="M5" s="2"/>
      <c r="N5" s="2"/>
      <c r="O5" s="2"/>
    </row>
    <row r="6" spans="1:15" ht="30" x14ac:dyDescent="0.25">
      <c r="A6" s="16" t="e">
        <f t="shared" si="0"/>
        <v>#REF!</v>
      </c>
      <c r="B6" s="2" t="s">
        <v>116</v>
      </c>
      <c r="C6" s="2"/>
      <c r="D6" s="2"/>
      <c r="E6" s="2"/>
      <c r="F6" s="2" t="s">
        <v>118</v>
      </c>
      <c r="G6" s="10" t="s">
        <v>94</v>
      </c>
      <c r="H6" s="2" t="s">
        <v>62</v>
      </c>
      <c r="I6" s="3" t="s">
        <v>119</v>
      </c>
      <c r="J6" s="2"/>
      <c r="K6" s="2"/>
      <c r="L6" s="2"/>
      <c r="M6" s="2"/>
      <c r="N6" s="2"/>
      <c r="O6" s="2"/>
    </row>
    <row r="7" spans="1:15" x14ac:dyDescent="0.25">
      <c r="A7" s="16" t="e">
        <f t="shared" si="0"/>
        <v>#REF!</v>
      </c>
      <c r="B7" s="2" t="s">
        <v>120</v>
      </c>
      <c r="C7" s="2"/>
      <c r="D7" s="2"/>
      <c r="E7" s="2"/>
      <c r="F7" s="2" t="s">
        <v>110</v>
      </c>
      <c r="G7" s="10" t="s">
        <v>94</v>
      </c>
      <c r="H7" s="2" t="s">
        <v>60</v>
      </c>
      <c r="I7" s="3" t="s">
        <v>121</v>
      </c>
      <c r="J7" s="2"/>
      <c r="K7" s="2"/>
      <c r="L7" s="2"/>
      <c r="M7" s="2"/>
      <c r="N7" s="2"/>
      <c r="O7" s="2"/>
    </row>
    <row r="8" spans="1:15" x14ac:dyDescent="0.25">
      <c r="A8" s="16" t="e">
        <f t="shared" si="0"/>
        <v>#REF!</v>
      </c>
      <c r="B8" s="2" t="s">
        <v>120</v>
      </c>
      <c r="C8" s="2"/>
      <c r="D8" s="2"/>
      <c r="E8" s="2"/>
      <c r="F8" s="2" t="s">
        <v>122</v>
      </c>
      <c r="G8" s="10" t="s">
        <v>59</v>
      </c>
      <c r="H8" s="2" t="s">
        <v>62</v>
      </c>
      <c r="I8" s="3" t="s">
        <v>123</v>
      </c>
      <c r="J8" s="2"/>
      <c r="K8" s="2"/>
      <c r="L8" s="2"/>
      <c r="M8" s="2"/>
      <c r="N8" s="2"/>
      <c r="O8" s="2"/>
    </row>
    <row r="9" spans="1:15" x14ac:dyDescent="0.25">
      <c r="A9" s="16" t="e">
        <f t="shared" si="0"/>
        <v>#REF!</v>
      </c>
      <c r="B9" s="2" t="s">
        <v>124</v>
      </c>
      <c r="C9" s="2"/>
      <c r="D9" s="2"/>
      <c r="E9" s="2"/>
      <c r="F9" s="2" t="s">
        <v>110</v>
      </c>
      <c r="G9" s="10" t="s">
        <v>94</v>
      </c>
      <c r="H9" s="2" t="s">
        <v>60</v>
      </c>
      <c r="I9" s="3" t="s">
        <v>125</v>
      </c>
      <c r="J9" s="2"/>
      <c r="K9" s="2"/>
      <c r="L9" s="2"/>
      <c r="M9" s="2"/>
      <c r="N9" s="2"/>
      <c r="O9" s="2"/>
    </row>
    <row r="10" spans="1:15" x14ac:dyDescent="0.25">
      <c r="A10" s="16" t="e">
        <f t="shared" si="0"/>
        <v>#REF!</v>
      </c>
      <c r="B10" s="2" t="s">
        <v>124</v>
      </c>
      <c r="C10" s="2"/>
      <c r="D10" s="2"/>
      <c r="E10" s="2"/>
      <c r="F10" s="2" t="s">
        <v>118</v>
      </c>
      <c r="G10" s="10" t="s">
        <v>94</v>
      </c>
      <c r="H10" s="2" t="s">
        <v>62</v>
      </c>
      <c r="I10" s="3" t="s">
        <v>126</v>
      </c>
      <c r="J10" s="2"/>
      <c r="K10" s="2"/>
      <c r="L10" s="2"/>
      <c r="M10" s="2"/>
      <c r="N10" s="2"/>
      <c r="O10" s="2"/>
    </row>
    <row r="11" spans="1:15" ht="150" x14ac:dyDescent="0.25">
      <c r="A11" s="16" t="e">
        <f t="shared" si="0"/>
        <v>#REF!</v>
      </c>
      <c r="B11" s="2" t="s">
        <v>127</v>
      </c>
      <c r="C11" s="2"/>
      <c r="D11" s="2"/>
      <c r="E11" s="2"/>
      <c r="F11" s="2" t="s">
        <v>110</v>
      </c>
      <c r="G11" s="10" t="s">
        <v>94</v>
      </c>
      <c r="H11" s="2" t="s">
        <v>60</v>
      </c>
      <c r="I11" s="3" t="s">
        <v>128</v>
      </c>
      <c r="J11" s="2"/>
      <c r="K11" s="2"/>
      <c r="L11" s="2"/>
      <c r="M11" s="2"/>
      <c r="N11" s="2"/>
      <c r="O11" s="2"/>
    </row>
    <row r="12" spans="1:15" ht="60" x14ac:dyDescent="0.25">
      <c r="A12" s="16" t="e">
        <f t="shared" si="0"/>
        <v>#REF!</v>
      </c>
      <c r="B12" s="2" t="s">
        <v>127</v>
      </c>
      <c r="C12" s="2"/>
      <c r="D12" s="2"/>
      <c r="E12" s="2"/>
      <c r="F12" s="2" t="s">
        <v>129</v>
      </c>
      <c r="G12" s="10" t="s">
        <v>59</v>
      </c>
      <c r="H12" s="2" t="s">
        <v>60</v>
      </c>
      <c r="I12" s="3" t="s">
        <v>130</v>
      </c>
      <c r="J12" s="2"/>
      <c r="K12" s="2"/>
      <c r="L12" s="2"/>
      <c r="M12" s="2"/>
      <c r="N12" s="3" t="s">
        <v>131</v>
      </c>
      <c r="O12" s="2"/>
    </row>
    <row r="13" spans="1:15" ht="60" x14ac:dyDescent="0.25">
      <c r="A13" s="16" t="e">
        <f t="shared" si="0"/>
        <v>#REF!</v>
      </c>
      <c r="B13" s="2" t="s">
        <v>127</v>
      </c>
      <c r="C13" s="2"/>
      <c r="D13" s="2"/>
      <c r="E13" s="2"/>
      <c r="F13" s="2" t="s">
        <v>132</v>
      </c>
      <c r="G13" s="10" t="s">
        <v>59</v>
      </c>
      <c r="H13" s="2" t="s">
        <v>60</v>
      </c>
      <c r="I13" s="3" t="s">
        <v>133</v>
      </c>
      <c r="J13" s="2"/>
      <c r="K13" s="2"/>
      <c r="L13" s="2"/>
      <c r="M13" s="2"/>
      <c r="N13" s="3" t="s">
        <v>134</v>
      </c>
      <c r="O13" s="2"/>
    </row>
    <row r="14" spans="1:15" ht="105" x14ac:dyDescent="0.25">
      <c r="A14" s="16" t="e">
        <f t="shared" si="0"/>
        <v>#REF!</v>
      </c>
      <c r="B14" s="2" t="s">
        <v>127</v>
      </c>
      <c r="C14" s="2"/>
      <c r="D14" s="2"/>
      <c r="E14" s="2"/>
      <c r="F14" s="2" t="s">
        <v>135</v>
      </c>
      <c r="G14" s="10" t="s">
        <v>59</v>
      </c>
      <c r="H14" s="2" t="s">
        <v>60</v>
      </c>
      <c r="I14" s="3" t="s">
        <v>136</v>
      </c>
      <c r="J14" s="2"/>
      <c r="K14" s="2"/>
      <c r="L14" s="2"/>
      <c r="M14" s="2"/>
      <c r="N14" s="3" t="s">
        <v>137</v>
      </c>
      <c r="O14" s="2"/>
    </row>
    <row r="15" spans="1:15" ht="45" x14ac:dyDescent="0.25">
      <c r="A15" s="16" t="e">
        <f t="shared" si="0"/>
        <v>#REF!</v>
      </c>
      <c r="B15" s="2" t="s">
        <v>127</v>
      </c>
      <c r="C15" s="2"/>
      <c r="D15" s="2"/>
      <c r="E15" s="2"/>
      <c r="F15" s="2" t="s">
        <v>138</v>
      </c>
      <c r="G15" s="10" t="s">
        <v>94</v>
      </c>
      <c r="H15" s="2" t="s">
        <v>62</v>
      </c>
      <c r="I15" s="3" t="s">
        <v>139</v>
      </c>
      <c r="J15" s="2"/>
      <c r="K15" s="2"/>
      <c r="L15" s="2"/>
      <c r="M15" s="2"/>
      <c r="N15" s="2"/>
      <c r="O15" s="2"/>
    </row>
    <row r="16" spans="1:15" x14ac:dyDescent="0.25">
      <c r="A16" s="16" t="e">
        <f t="shared" si="0"/>
        <v>#REF!</v>
      </c>
      <c r="B16" s="2" t="s">
        <v>140</v>
      </c>
      <c r="C16" s="2"/>
      <c r="D16" s="2"/>
      <c r="E16" s="2"/>
      <c r="F16" s="2" t="s">
        <v>141</v>
      </c>
      <c r="G16" s="10" t="s">
        <v>59</v>
      </c>
      <c r="H16" s="2" t="s">
        <v>62</v>
      </c>
      <c r="I16" s="3" t="s">
        <v>142</v>
      </c>
      <c r="J16" s="2"/>
      <c r="K16" s="2"/>
      <c r="L16" s="2"/>
      <c r="M16" s="2"/>
      <c r="N16" s="2"/>
      <c r="O16" s="29"/>
    </row>
    <row r="17" spans="1:15" ht="57.75" x14ac:dyDescent="0.25">
      <c r="A17" s="16" t="e">
        <f t="shared" si="0"/>
        <v>#REF!</v>
      </c>
      <c r="B17" s="2" t="s">
        <v>140</v>
      </c>
      <c r="C17" s="2"/>
      <c r="D17" s="2"/>
      <c r="E17" s="2"/>
      <c r="F17" s="2" t="s">
        <v>143</v>
      </c>
      <c r="G17" s="10" t="s">
        <v>59</v>
      </c>
      <c r="H17" s="2" t="s">
        <v>62</v>
      </c>
      <c r="I17" s="3" t="s">
        <v>144</v>
      </c>
      <c r="J17" s="2" t="s">
        <v>145</v>
      </c>
      <c r="K17" s="2"/>
      <c r="L17" s="2"/>
      <c r="M17" s="2"/>
      <c r="N17" s="2"/>
      <c r="O17" s="29"/>
    </row>
    <row r="18" spans="1:15" ht="39.75" x14ac:dyDescent="0.25">
      <c r="A18" s="16" t="e">
        <f t="shared" si="0"/>
        <v>#REF!</v>
      </c>
      <c r="B18" s="2" t="s">
        <v>140</v>
      </c>
      <c r="C18" s="2"/>
      <c r="D18" s="2"/>
      <c r="E18" s="2"/>
      <c r="F18" s="2" t="s">
        <v>146</v>
      </c>
      <c r="G18" s="10" t="s">
        <v>59</v>
      </c>
      <c r="H18" s="2" t="s">
        <v>62</v>
      </c>
      <c r="I18" s="3" t="s">
        <v>147</v>
      </c>
      <c r="J18" s="2"/>
      <c r="K18" s="2"/>
      <c r="L18" s="2"/>
      <c r="M18" s="2"/>
      <c r="N18" s="2"/>
      <c r="O18" s="29"/>
    </row>
    <row r="19" spans="1:15" ht="159.75" x14ac:dyDescent="0.25">
      <c r="A19" s="16" t="e">
        <f t="shared" si="0"/>
        <v>#REF!</v>
      </c>
      <c r="B19" s="2" t="s">
        <v>140</v>
      </c>
      <c r="C19" s="2"/>
      <c r="D19" s="2"/>
      <c r="E19" s="2"/>
      <c r="F19" s="2" t="s">
        <v>148</v>
      </c>
      <c r="G19" s="10" t="s">
        <v>76</v>
      </c>
      <c r="H19" s="2" t="s">
        <v>62</v>
      </c>
      <c r="I19" s="3" t="s">
        <v>149</v>
      </c>
      <c r="J19" s="2"/>
      <c r="K19" s="2"/>
      <c r="L19" s="2"/>
      <c r="M19" s="2"/>
      <c r="N19" s="2"/>
      <c r="O19" s="29"/>
    </row>
    <row r="20" spans="1:15" ht="315" x14ac:dyDescent="0.25">
      <c r="A20" s="16" t="e">
        <f t="shared" si="0"/>
        <v>#REF!</v>
      </c>
      <c r="B20" s="2" t="s">
        <v>140</v>
      </c>
      <c r="C20" s="2"/>
      <c r="D20" s="2"/>
      <c r="E20" s="2"/>
      <c r="F20" s="2" t="s">
        <v>150</v>
      </c>
      <c r="G20" s="10" t="s">
        <v>59</v>
      </c>
      <c r="H20" s="2" t="s">
        <v>62</v>
      </c>
      <c r="I20" s="3" t="s">
        <v>151</v>
      </c>
      <c r="J20" s="2"/>
      <c r="K20" s="2"/>
      <c r="L20" s="2"/>
      <c r="M20" s="2"/>
      <c r="N20" s="2"/>
      <c r="O20" s="29"/>
    </row>
    <row r="21" spans="1:15" ht="30" x14ac:dyDescent="0.25">
      <c r="A21" s="16" t="e">
        <f t="shared" si="0"/>
        <v>#REF!</v>
      </c>
      <c r="B21" s="2" t="s">
        <v>140</v>
      </c>
      <c r="C21" s="2"/>
      <c r="D21" s="2"/>
      <c r="E21" s="2" t="s">
        <v>152</v>
      </c>
      <c r="F21" s="2" t="s">
        <v>153</v>
      </c>
      <c r="G21" s="10" t="s">
        <v>59</v>
      </c>
      <c r="H21" s="2" t="s">
        <v>62</v>
      </c>
      <c r="I21" s="3" t="s">
        <v>154</v>
      </c>
      <c r="J21" s="2"/>
      <c r="K21" s="2"/>
      <c r="L21" s="2"/>
      <c r="M21" s="2"/>
      <c r="N21" s="2"/>
      <c r="O21" s="29"/>
    </row>
    <row r="22" spans="1:15" ht="30" x14ac:dyDescent="0.25">
      <c r="A22" s="16" t="e">
        <f t="shared" si="0"/>
        <v>#REF!</v>
      </c>
      <c r="B22" s="2" t="s">
        <v>140</v>
      </c>
      <c r="C22" s="2"/>
      <c r="D22" s="2"/>
      <c r="E22" s="2" t="s">
        <v>152</v>
      </c>
      <c r="F22" s="2" t="s">
        <v>155</v>
      </c>
      <c r="G22" s="10" t="s">
        <v>59</v>
      </c>
      <c r="H22" s="2" t="s">
        <v>62</v>
      </c>
      <c r="I22" s="3" t="s">
        <v>156</v>
      </c>
      <c r="J22" s="2"/>
      <c r="K22" s="2"/>
      <c r="L22" s="2"/>
      <c r="M22" s="2"/>
      <c r="N22" s="2"/>
      <c r="O22" s="29"/>
    </row>
    <row r="23" spans="1:15" ht="60" x14ac:dyDescent="0.25">
      <c r="A23" s="16" t="e">
        <f t="shared" si="0"/>
        <v>#REF!</v>
      </c>
      <c r="B23" s="2" t="s">
        <v>140</v>
      </c>
      <c r="C23" s="2"/>
      <c r="D23" s="2"/>
      <c r="E23" s="2" t="s">
        <v>152</v>
      </c>
      <c r="F23" s="2" t="s">
        <v>157</v>
      </c>
      <c r="G23" s="10" t="s">
        <v>59</v>
      </c>
      <c r="H23" s="2" t="s">
        <v>62</v>
      </c>
      <c r="I23" s="3" t="s">
        <v>158</v>
      </c>
      <c r="J23" s="2"/>
      <c r="K23" s="2"/>
      <c r="L23" s="2"/>
      <c r="M23" s="2"/>
      <c r="N23" s="2" t="s">
        <v>159</v>
      </c>
      <c r="O23" s="29"/>
    </row>
    <row r="24" spans="1:15" ht="30" x14ac:dyDescent="0.25">
      <c r="A24" s="16" t="e">
        <f t="shared" si="0"/>
        <v>#REF!</v>
      </c>
      <c r="B24" s="2" t="s">
        <v>140</v>
      </c>
      <c r="C24" s="2"/>
      <c r="D24" s="2"/>
      <c r="E24" s="2" t="s">
        <v>160</v>
      </c>
      <c r="F24" s="2" t="s">
        <v>161</v>
      </c>
      <c r="G24" s="10" t="s">
        <v>59</v>
      </c>
      <c r="H24" s="2" t="s">
        <v>62</v>
      </c>
      <c r="I24" s="3" t="s">
        <v>162</v>
      </c>
      <c r="J24" s="2"/>
      <c r="K24" s="2"/>
      <c r="L24" s="2"/>
      <c r="M24" s="2"/>
      <c r="N24" s="2"/>
      <c r="O24" s="29"/>
    </row>
    <row r="25" spans="1:15" x14ac:dyDescent="0.25">
      <c r="A25" s="16" t="e">
        <f t="shared" si="0"/>
        <v>#REF!</v>
      </c>
      <c r="B25" s="2" t="s">
        <v>140</v>
      </c>
      <c r="C25" s="2"/>
      <c r="D25" s="2"/>
      <c r="E25" s="2" t="s">
        <v>160</v>
      </c>
      <c r="F25" s="2" t="s">
        <v>163</v>
      </c>
      <c r="G25" s="10" t="s">
        <v>59</v>
      </c>
      <c r="H25" s="2" t="s">
        <v>62</v>
      </c>
      <c r="I25" s="3"/>
      <c r="J25" s="2"/>
      <c r="K25" s="2"/>
      <c r="L25" s="2"/>
      <c r="M25" s="2"/>
      <c r="N25" s="2"/>
      <c r="O25" s="29"/>
    </row>
    <row r="26" spans="1:15" ht="30" x14ac:dyDescent="0.25">
      <c r="A26" s="16" t="e">
        <f t="shared" si="0"/>
        <v>#REF!</v>
      </c>
      <c r="B26" s="2" t="s">
        <v>140</v>
      </c>
      <c r="C26" s="2"/>
      <c r="D26" s="2"/>
      <c r="E26" s="2" t="s">
        <v>160</v>
      </c>
      <c r="F26" s="2" t="s">
        <v>164</v>
      </c>
      <c r="G26" s="10" t="s">
        <v>59</v>
      </c>
      <c r="H26" s="2" t="s">
        <v>62</v>
      </c>
      <c r="I26" s="3" t="s">
        <v>165</v>
      </c>
      <c r="J26" s="2"/>
      <c r="K26" s="2"/>
      <c r="L26" s="2"/>
      <c r="M26" s="2"/>
      <c r="N26" s="2" t="s">
        <v>166</v>
      </c>
      <c r="O26" s="29"/>
    </row>
    <row r="27" spans="1:15" ht="30" x14ac:dyDescent="0.25">
      <c r="A27" s="16" t="e">
        <f t="shared" si="0"/>
        <v>#REF!</v>
      </c>
      <c r="B27" s="2" t="s">
        <v>140</v>
      </c>
      <c r="C27" s="2"/>
      <c r="D27" s="2"/>
      <c r="E27" s="2" t="s">
        <v>160</v>
      </c>
      <c r="F27" s="2" t="s">
        <v>167</v>
      </c>
      <c r="G27" s="10" t="s">
        <v>59</v>
      </c>
      <c r="H27" s="2" t="s">
        <v>62</v>
      </c>
      <c r="I27" s="3" t="s">
        <v>168</v>
      </c>
      <c r="J27" s="2"/>
      <c r="K27" s="2"/>
      <c r="L27" s="2"/>
      <c r="M27" s="2"/>
      <c r="N27" s="2"/>
      <c r="O27" s="29"/>
    </row>
    <row r="28" spans="1:15" x14ac:dyDescent="0.25">
      <c r="A28" s="16" t="e">
        <f t="shared" si="0"/>
        <v>#REF!</v>
      </c>
      <c r="B28" s="2" t="s">
        <v>140</v>
      </c>
      <c r="C28" s="2"/>
      <c r="D28" s="2"/>
      <c r="E28" s="2" t="s">
        <v>169</v>
      </c>
      <c r="F28" s="2" t="s">
        <v>170</v>
      </c>
      <c r="G28" s="10" t="s">
        <v>59</v>
      </c>
      <c r="H28" s="2" t="s">
        <v>62</v>
      </c>
      <c r="I28" s="3" t="s">
        <v>171</v>
      </c>
      <c r="J28" s="2"/>
      <c r="K28" s="2"/>
      <c r="L28" s="2"/>
      <c r="M28" s="2"/>
      <c r="N28" s="2"/>
      <c r="O28" s="29"/>
    </row>
    <row r="29" spans="1:15" x14ac:dyDescent="0.25">
      <c r="A29" s="16" t="e">
        <f t="shared" si="0"/>
        <v>#REF!</v>
      </c>
      <c r="B29" s="2" t="s">
        <v>140</v>
      </c>
      <c r="C29" s="2"/>
      <c r="D29" s="2"/>
      <c r="E29" s="2" t="s">
        <v>172</v>
      </c>
      <c r="F29" s="2" t="s">
        <v>173</v>
      </c>
      <c r="G29" s="10" t="s">
        <v>59</v>
      </c>
      <c r="H29" s="2" t="s">
        <v>62</v>
      </c>
      <c r="I29" s="3" t="s">
        <v>174</v>
      </c>
      <c r="J29" s="2"/>
      <c r="K29" s="2"/>
      <c r="L29" s="2"/>
      <c r="M29" s="2"/>
      <c r="N29" s="2"/>
      <c r="O29" s="29"/>
    </row>
    <row r="30" spans="1:15" x14ac:dyDescent="0.25">
      <c r="A30" s="16" t="e">
        <f t="shared" si="0"/>
        <v>#REF!</v>
      </c>
      <c r="B30" s="2" t="s">
        <v>140</v>
      </c>
      <c r="C30" s="2"/>
      <c r="D30" s="2"/>
      <c r="E30" s="2" t="s">
        <v>172</v>
      </c>
      <c r="F30" s="2" t="s">
        <v>175</v>
      </c>
      <c r="G30" s="10" t="s">
        <v>94</v>
      </c>
      <c r="H30" s="2" t="s">
        <v>62</v>
      </c>
      <c r="I30" s="3" t="s">
        <v>176</v>
      </c>
      <c r="J30" s="2"/>
      <c r="K30" s="2"/>
      <c r="L30" s="2"/>
      <c r="M30" s="2"/>
      <c r="N30" s="2"/>
      <c r="O30" s="29"/>
    </row>
    <row r="31" spans="1:15" ht="60" x14ac:dyDescent="0.25">
      <c r="A31" s="16" t="e">
        <f t="shared" si="0"/>
        <v>#REF!</v>
      </c>
      <c r="B31" s="2" t="s">
        <v>140</v>
      </c>
      <c r="C31" s="2"/>
      <c r="D31" s="2"/>
      <c r="E31" s="2" t="s">
        <v>177</v>
      </c>
      <c r="F31" s="2" t="s">
        <v>178</v>
      </c>
      <c r="G31" s="10" t="s">
        <v>59</v>
      </c>
      <c r="H31" s="2" t="s">
        <v>62</v>
      </c>
      <c r="I31" s="3" t="s">
        <v>179</v>
      </c>
      <c r="J31" s="2"/>
      <c r="K31" s="2"/>
      <c r="L31" s="2"/>
      <c r="M31" s="2"/>
      <c r="N31" s="2" t="s">
        <v>180</v>
      </c>
      <c r="O31" s="29"/>
    </row>
    <row r="32" spans="1:15" x14ac:dyDescent="0.25">
      <c r="A32" s="16" t="e">
        <f t="shared" si="0"/>
        <v>#REF!</v>
      </c>
      <c r="B32" s="2" t="s">
        <v>140</v>
      </c>
      <c r="C32" s="2"/>
      <c r="D32" s="2"/>
      <c r="E32" s="2" t="s">
        <v>177</v>
      </c>
      <c r="F32" s="2" t="s">
        <v>163</v>
      </c>
      <c r="G32" s="10" t="s">
        <v>59</v>
      </c>
      <c r="H32" s="2" t="s">
        <v>62</v>
      </c>
      <c r="I32" s="3" t="s">
        <v>181</v>
      </c>
      <c r="J32" s="2"/>
      <c r="K32" s="2"/>
      <c r="L32" s="2"/>
      <c r="M32" s="2"/>
      <c r="N32" s="2"/>
      <c r="O32" s="29"/>
    </row>
    <row r="33" spans="1:15" ht="30" x14ac:dyDescent="0.25">
      <c r="A33" s="16" t="e">
        <f t="shared" si="0"/>
        <v>#REF!</v>
      </c>
      <c r="B33" s="2" t="s">
        <v>140</v>
      </c>
      <c r="C33" s="2"/>
      <c r="D33" s="2"/>
      <c r="E33" s="2" t="s">
        <v>177</v>
      </c>
      <c r="F33" s="2" t="s">
        <v>182</v>
      </c>
      <c r="G33" s="10" t="s">
        <v>59</v>
      </c>
      <c r="H33" s="2" t="s">
        <v>62</v>
      </c>
      <c r="I33" s="3" t="s">
        <v>183</v>
      </c>
      <c r="J33" s="2"/>
      <c r="K33" s="2"/>
      <c r="L33" s="2"/>
      <c r="M33" s="2"/>
      <c r="N33" s="2"/>
      <c r="O33" s="29"/>
    </row>
    <row r="34" spans="1:15" ht="30" x14ac:dyDescent="0.25">
      <c r="A34" s="16" t="e">
        <f t="shared" si="0"/>
        <v>#REF!</v>
      </c>
      <c r="B34" s="2" t="s">
        <v>140</v>
      </c>
      <c r="C34" s="2"/>
      <c r="D34" s="2"/>
      <c r="E34" s="2" t="s">
        <v>177</v>
      </c>
      <c r="F34" s="2" t="s">
        <v>164</v>
      </c>
      <c r="G34" s="10" t="s">
        <v>59</v>
      </c>
      <c r="H34" s="2" t="s">
        <v>62</v>
      </c>
      <c r="I34" s="3" t="s">
        <v>184</v>
      </c>
      <c r="J34" s="2"/>
      <c r="K34" s="2"/>
      <c r="L34" s="2"/>
      <c r="M34" s="2"/>
      <c r="N34" s="2" t="s">
        <v>166</v>
      </c>
      <c r="O34" s="29"/>
    </row>
    <row r="35" spans="1:15" ht="45" x14ac:dyDescent="0.25">
      <c r="A35" s="16" t="e">
        <f t="shared" ref="A35:A66" si="1">A34+1</f>
        <v>#REF!</v>
      </c>
      <c r="B35" s="2" t="s">
        <v>140</v>
      </c>
      <c r="C35" s="2"/>
      <c r="D35" s="2"/>
      <c r="E35" s="2" t="s">
        <v>185</v>
      </c>
      <c r="F35" s="2"/>
      <c r="G35" s="10"/>
      <c r="H35" s="2" t="s">
        <v>62</v>
      </c>
      <c r="I35" s="3" t="s">
        <v>186</v>
      </c>
      <c r="J35" s="2"/>
      <c r="K35" s="2"/>
      <c r="L35" s="2"/>
      <c r="M35" s="2"/>
      <c r="N35" s="2"/>
      <c r="O35" s="29"/>
    </row>
    <row r="36" spans="1:15" ht="90" x14ac:dyDescent="0.25">
      <c r="A36" s="16" t="e">
        <f t="shared" si="1"/>
        <v>#REF!</v>
      </c>
      <c r="B36" s="2" t="s">
        <v>140</v>
      </c>
      <c r="C36" s="2"/>
      <c r="D36" s="2"/>
      <c r="E36" s="2" t="s">
        <v>185</v>
      </c>
      <c r="F36" s="2" t="s">
        <v>187</v>
      </c>
      <c r="G36" s="10" t="s">
        <v>94</v>
      </c>
      <c r="H36" s="2" t="s">
        <v>62</v>
      </c>
      <c r="I36" s="3" t="s">
        <v>188</v>
      </c>
      <c r="J36" s="2" t="s">
        <v>189</v>
      </c>
      <c r="K36" s="2"/>
      <c r="L36" s="2"/>
      <c r="M36" s="2"/>
      <c r="N36" s="2"/>
      <c r="O36" s="29"/>
    </row>
    <row r="37" spans="1:15" ht="60" x14ac:dyDescent="0.25">
      <c r="A37" s="16" t="e">
        <f t="shared" si="1"/>
        <v>#REF!</v>
      </c>
      <c r="B37" s="2" t="s">
        <v>140</v>
      </c>
      <c r="C37" s="2"/>
      <c r="D37" s="2"/>
      <c r="E37" s="2" t="s">
        <v>185</v>
      </c>
      <c r="F37" s="2" t="s">
        <v>190</v>
      </c>
      <c r="G37" s="10" t="s">
        <v>76</v>
      </c>
      <c r="H37" s="2" t="s">
        <v>62</v>
      </c>
      <c r="I37" s="3" t="s">
        <v>191</v>
      </c>
      <c r="J37" s="2"/>
      <c r="K37" s="2"/>
      <c r="L37" s="2"/>
      <c r="M37" s="2"/>
      <c r="N37" s="2"/>
      <c r="O37" s="29"/>
    </row>
    <row r="38" spans="1:15" ht="30" x14ac:dyDescent="0.25">
      <c r="A38" s="16" t="e">
        <f t="shared" si="1"/>
        <v>#REF!</v>
      </c>
      <c r="B38" s="2" t="s">
        <v>140</v>
      </c>
      <c r="C38" s="2"/>
      <c r="D38" s="2"/>
      <c r="E38" s="2" t="s">
        <v>185</v>
      </c>
      <c r="F38" s="2" t="s">
        <v>192</v>
      </c>
      <c r="G38" s="10" t="s">
        <v>59</v>
      </c>
      <c r="H38" s="2" t="s">
        <v>62</v>
      </c>
      <c r="I38" s="3" t="s">
        <v>193</v>
      </c>
      <c r="J38" s="2"/>
      <c r="K38" s="2"/>
      <c r="L38" s="2"/>
      <c r="M38" s="2"/>
      <c r="N38" s="2"/>
      <c r="O38" s="29"/>
    </row>
    <row r="39" spans="1:15" ht="30" x14ac:dyDescent="0.25">
      <c r="A39" s="16" t="e">
        <f t="shared" si="1"/>
        <v>#REF!</v>
      </c>
      <c r="B39" s="2" t="s">
        <v>140</v>
      </c>
      <c r="C39" s="2"/>
      <c r="D39" s="2"/>
      <c r="E39" s="2" t="s">
        <v>194</v>
      </c>
      <c r="F39" s="2" t="s">
        <v>195</v>
      </c>
      <c r="G39" s="10" t="s">
        <v>59</v>
      </c>
      <c r="H39" s="2" t="s">
        <v>62</v>
      </c>
      <c r="I39" s="3" t="s">
        <v>196</v>
      </c>
      <c r="J39" s="2"/>
      <c r="K39" s="2"/>
      <c r="L39" s="2"/>
      <c r="M39" s="2"/>
      <c r="N39" s="2" t="s">
        <v>197</v>
      </c>
      <c r="O39" s="29"/>
    </row>
    <row r="40" spans="1:15" x14ac:dyDescent="0.25">
      <c r="A40" s="16" t="e">
        <f t="shared" si="1"/>
        <v>#REF!</v>
      </c>
      <c r="B40" s="2" t="s">
        <v>140</v>
      </c>
      <c r="C40" s="2"/>
      <c r="D40" s="2"/>
      <c r="E40" s="2" t="s">
        <v>194</v>
      </c>
      <c r="F40" s="2" t="s">
        <v>198</v>
      </c>
      <c r="G40" s="10" t="s">
        <v>59</v>
      </c>
      <c r="H40" s="2" t="s">
        <v>62</v>
      </c>
      <c r="I40" s="3" t="s">
        <v>199</v>
      </c>
      <c r="J40" s="2"/>
      <c r="K40" s="2"/>
      <c r="L40" s="2"/>
      <c r="M40" s="2"/>
      <c r="N40" s="2"/>
      <c r="O40" s="29"/>
    </row>
    <row r="41" spans="1:15" x14ac:dyDescent="0.25">
      <c r="A41" s="16" t="e">
        <f t="shared" si="1"/>
        <v>#REF!</v>
      </c>
      <c r="B41" s="2" t="s">
        <v>140</v>
      </c>
      <c r="C41" s="2"/>
      <c r="D41" s="2"/>
      <c r="E41" s="2" t="s">
        <v>194</v>
      </c>
      <c r="F41" s="2" t="s">
        <v>163</v>
      </c>
      <c r="G41" s="10" t="s">
        <v>59</v>
      </c>
      <c r="H41" s="2" t="s">
        <v>62</v>
      </c>
      <c r="I41" s="3"/>
      <c r="J41" s="2"/>
      <c r="K41" s="2"/>
      <c r="L41" s="2"/>
      <c r="M41" s="2"/>
      <c r="N41" s="2"/>
      <c r="O41" s="29"/>
    </row>
    <row r="42" spans="1:15" ht="30" x14ac:dyDescent="0.25">
      <c r="A42" s="16" t="e">
        <f t="shared" si="1"/>
        <v>#REF!</v>
      </c>
      <c r="B42" s="2" t="s">
        <v>140</v>
      </c>
      <c r="C42" s="2"/>
      <c r="D42" s="2"/>
      <c r="E42" s="2" t="s">
        <v>194</v>
      </c>
      <c r="F42" s="2" t="s">
        <v>182</v>
      </c>
      <c r="G42" s="10" t="s">
        <v>59</v>
      </c>
      <c r="H42" s="2" t="s">
        <v>62</v>
      </c>
      <c r="I42" s="3" t="s">
        <v>200</v>
      </c>
      <c r="J42" s="2"/>
      <c r="K42" s="2"/>
      <c r="L42" s="2"/>
      <c r="M42" s="2"/>
      <c r="N42" s="2"/>
      <c r="O42" s="29"/>
    </row>
    <row r="43" spans="1:15" ht="30" x14ac:dyDescent="0.25">
      <c r="A43" s="16" t="e">
        <f t="shared" si="1"/>
        <v>#REF!</v>
      </c>
      <c r="B43" s="2" t="s">
        <v>140</v>
      </c>
      <c r="C43" s="2"/>
      <c r="D43" s="2"/>
      <c r="E43" s="2" t="s">
        <v>194</v>
      </c>
      <c r="F43" s="2" t="s">
        <v>164</v>
      </c>
      <c r="G43" s="10" t="s">
        <v>59</v>
      </c>
      <c r="H43" s="2" t="s">
        <v>62</v>
      </c>
      <c r="I43" s="3" t="s">
        <v>201</v>
      </c>
      <c r="J43" s="2"/>
      <c r="K43" s="2"/>
      <c r="L43" s="2"/>
      <c r="M43" s="2"/>
      <c r="N43" s="2" t="s">
        <v>166</v>
      </c>
      <c r="O43" s="29"/>
    </row>
    <row r="44" spans="1:15" ht="30" x14ac:dyDescent="0.25">
      <c r="A44" s="16" t="e">
        <f t="shared" si="1"/>
        <v>#REF!</v>
      </c>
      <c r="B44" s="2" t="s">
        <v>140</v>
      </c>
      <c r="C44" s="2"/>
      <c r="D44" s="2"/>
      <c r="E44" s="2" t="s">
        <v>202</v>
      </c>
      <c r="F44" s="2" t="s">
        <v>203</v>
      </c>
      <c r="G44" s="10" t="s">
        <v>59</v>
      </c>
      <c r="H44" s="2" t="s">
        <v>62</v>
      </c>
      <c r="I44" s="3" t="s">
        <v>204</v>
      </c>
      <c r="J44" s="2"/>
      <c r="K44" s="2"/>
      <c r="L44" s="2"/>
      <c r="M44" s="2"/>
      <c r="N44" s="2"/>
      <c r="O44" s="29"/>
    </row>
    <row r="45" spans="1:15" x14ac:dyDescent="0.25">
      <c r="A45" s="16" t="e">
        <f t="shared" si="1"/>
        <v>#REF!</v>
      </c>
      <c r="B45" s="2" t="s">
        <v>140</v>
      </c>
      <c r="C45" s="2"/>
      <c r="D45" s="2"/>
      <c r="E45" s="2" t="s">
        <v>202</v>
      </c>
      <c r="F45" s="2" t="s">
        <v>163</v>
      </c>
      <c r="G45" s="10" t="s">
        <v>59</v>
      </c>
      <c r="H45" s="2" t="s">
        <v>62</v>
      </c>
      <c r="I45" s="3" t="s">
        <v>181</v>
      </c>
      <c r="J45" s="2"/>
      <c r="K45" s="2"/>
      <c r="L45" s="2"/>
      <c r="M45" s="2"/>
      <c r="N45" s="2"/>
      <c r="O45" s="29"/>
    </row>
    <row r="46" spans="1:15" ht="30" x14ac:dyDescent="0.25">
      <c r="A46" s="16" t="e">
        <f t="shared" si="1"/>
        <v>#REF!</v>
      </c>
      <c r="B46" s="2" t="s">
        <v>140</v>
      </c>
      <c r="C46" s="2"/>
      <c r="D46" s="2"/>
      <c r="E46" s="2" t="s">
        <v>202</v>
      </c>
      <c r="F46" s="2" t="s">
        <v>164</v>
      </c>
      <c r="G46" s="10" t="s">
        <v>59</v>
      </c>
      <c r="H46" s="2" t="s">
        <v>62</v>
      </c>
      <c r="I46" s="3" t="s">
        <v>201</v>
      </c>
      <c r="J46" s="2"/>
      <c r="K46" s="2"/>
      <c r="L46" s="2"/>
      <c r="M46" s="2"/>
      <c r="N46" s="2" t="s">
        <v>166</v>
      </c>
      <c r="O46" s="29"/>
    </row>
    <row r="47" spans="1:15" ht="30" x14ac:dyDescent="0.25">
      <c r="A47" s="16" t="e">
        <f t="shared" si="1"/>
        <v>#REF!</v>
      </c>
      <c r="B47" s="2" t="s">
        <v>140</v>
      </c>
      <c r="C47" s="2"/>
      <c r="D47" s="2"/>
      <c r="E47" s="2" t="s">
        <v>202</v>
      </c>
      <c r="F47" s="2" t="s">
        <v>167</v>
      </c>
      <c r="G47" s="10" t="s">
        <v>59</v>
      </c>
      <c r="H47" s="2" t="s">
        <v>62</v>
      </c>
      <c r="I47" s="3" t="s">
        <v>205</v>
      </c>
      <c r="J47" s="2"/>
      <c r="K47" s="2"/>
      <c r="L47" s="2"/>
      <c r="M47" s="2"/>
      <c r="N47" s="2"/>
      <c r="O47" s="29"/>
    </row>
    <row r="48" spans="1:15" ht="45" x14ac:dyDescent="0.25">
      <c r="A48" s="16" t="e">
        <f t="shared" si="1"/>
        <v>#REF!</v>
      </c>
      <c r="B48" s="2" t="s">
        <v>140</v>
      </c>
      <c r="C48" s="2"/>
      <c r="D48" s="2"/>
      <c r="E48" s="2" t="s">
        <v>202</v>
      </c>
      <c r="F48" s="2" t="s">
        <v>206</v>
      </c>
      <c r="G48" s="10" t="s">
        <v>59</v>
      </c>
      <c r="H48" s="2" t="s">
        <v>62</v>
      </c>
      <c r="I48" s="3" t="s">
        <v>207</v>
      </c>
      <c r="J48" s="2"/>
      <c r="K48" s="2"/>
      <c r="L48" s="2"/>
      <c r="M48" s="2"/>
      <c r="N48" s="2"/>
      <c r="O48" s="29"/>
    </row>
    <row r="49" spans="1:15" ht="30" x14ac:dyDescent="0.25">
      <c r="A49" s="16" t="e">
        <f t="shared" si="1"/>
        <v>#REF!</v>
      </c>
      <c r="B49" s="2" t="s">
        <v>140</v>
      </c>
      <c r="C49" s="2"/>
      <c r="D49" s="2"/>
      <c r="E49" s="2" t="s">
        <v>202</v>
      </c>
      <c r="F49" s="2" t="s">
        <v>208</v>
      </c>
      <c r="G49" s="10" t="s">
        <v>59</v>
      </c>
      <c r="H49" s="2" t="s">
        <v>62</v>
      </c>
      <c r="I49" s="3" t="s">
        <v>209</v>
      </c>
      <c r="J49" s="2"/>
      <c r="K49" s="2"/>
      <c r="L49" s="2"/>
      <c r="M49" s="2"/>
      <c r="N49" s="2" t="s">
        <v>210</v>
      </c>
      <c r="O49" s="29"/>
    </row>
    <row r="50" spans="1:15" ht="30" x14ac:dyDescent="0.25">
      <c r="A50" s="16" t="e">
        <f t="shared" si="1"/>
        <v>#REF!</v>
      </c>
      <c r="B50" s="2" t="s">
        <v>140</v>
      </c>
      <c r="C50" s="2"/>
      <c r="D50" s="2"/>
      <c r="E50" s="2" t="s">
        <v>202</v>
      </c>
      <c r="F50" s="2" t="s">
        <v>211</v>
      </c>
      <c r="G50" s="10" t="s">
        <v>59</v>
      </c>
      <c r="H50" s="2" t="s">
        <v>62</v>
      </c>
      <c r="I50" s="3" t="s">
        <v>212</v>
      </c>
      <c r="J50" s="2"/>
      <c r="K50" s="2"/>
      <c r="L50" s="2"/>
      <c r="M50" s="2"/>
      <c r="N50" s="2"/>
      <c r="O50" s="29"/>
    </row>
    <row r="51" spans="1:15" ht="60" x14ac:dyDescent="0.25">
      <c r="A51" s="16" t="e">
        <f t="shared" si="1"/>
        <v>#REF!</v>
      </c>
      <c r="B51" s="2" t="s">
        <v>140</v>
      </c>
      <c r="C51" s="2"/>
      <c r="D51" s="2"/>
      <c r="E51" s="2" t="s">
        <v>202</v>
      </c>
      <c r="F51" s="2" t="s">
        <v>213</v>
      </c>
      <c r="G51" s="10" t="s">
        <v>59</v>
      </c>
      <c r="H51" s="2" t="s">
        <v>62</v>
      </c>
      <c r="I51" s="3" t="s">
        <v>214</v>
      </c>
      <c r="J51" s="2"/>
      <c r="K51" s="2"/>
      <c r="L51" s="2"/>
      <c r="M51" s="2"/>
      <c r="N51" s="2"/>
      <c r="O51" s="29"/>
    </row>
    <row r="52" spans="1:15" ht="240" x14ac:dyDescent="0.25">
      <c r="A52" s="16" t="e">
        <f t="shared" si="1"/>
        <v>#REF!</v>
      </c>
      <c r="B52" s="2" t="s">
        <v>140</v>
      </c>
      <c r="C52" s="2"/>
      <c r="D52" s="2"/>
      <c r="E52" s="16" t="s">
        <v>215</v>
      </c>
      <c r="F52" t="s">
        <v>190</v>
      </c>
      <c r="G52" s="31" t="s">
        <v>76</v>
      </c>
      <c r="H52" s="2" t="s">
        <v>62</v>
      </c>
      <c r="I52" s="3" t="s">
        <v>216</v>
      </c>
      <c r="J52" s="2"/>
      <c r="K52" s="2"/>
      <c r="L52" s="2"/>
      <c r="M52" s="2"/>
      <c r="N52" s="2"/>
      <c r="O52" s="29"/>
    </row>
    <row r="53" spans="1:15" ht="30" x14ac:dyDescent="0.25">
      <c r="A53" s="16" t="e">
        <f t="shared" si="1"/>
        <v>#REF!</v>
      </c>
      <c r="B53" s="2" t="s">
        <v>140</v>
      </c>
      <c r="C53" s="2"/>
      <c r="D53" s="2"/>
      <c r="E53" s="16" t="s">
        <v>215</v>
      </c>
      <c r="F53" s="2" t="s">
        <v>217</v>
      </c>
      <c r="G53" s="10" t="s">
        <v>59</v>
      </c>
      <c r="H53" s="2" t="s">
        <v>62</v>
      </c>
      <c r="I53" s="3" t="s">
        <v>218</v>
      </c>
      <c r="J53" s="2"/>
      <c r="K53" s="2"/>
      <c r="L53" s="2"/>
      <c r="M53" s="2"/>
      <c r="N53" s="2" t="s">
        <v>219</v>
      </c>
      <c r="O53" s="29"/>
    </row>
    <row r="54" spans="1:15" ht="45" x14ac:dyDescent="0.25">
      <c r="A54" s="16" t="e">
        <f t="shared" si="1"/>
        <v>#REF!</v>
      </c>
      <c r="B54" s="2" t="s">
        <v>140</v>
      </c>
      <c r="C54" s="2"/>
      <c r="D54" s="2"/>
      <c r="E54" s="16" t="s">
        <v>215</v>
      </c>
      <c r="F54" s="2" t="s">
        <v>220</v>
      </c>
      <c r="G54" s="10" t="s">
        <v>59</v>
      </c>
      <c r="H54" s="2" t="s">
        <v>62</v>
      </c>
      <c r="I54" s="3" t="s">
        <v>221</v>
      </c>
      <c r="J54" s="2"/>
      <c r="K54" s="2"/>
      <c r="L54" s="2"/>
      <c r="M54" s="2"/>
      <c r="N54" s="2"/>
      <c r="O54" s="29"/>
    </row>
    <row r="55" spans="1:15" ht="30" x14ac:dyDescent="0.25">
      <c r="A55" s="16" t="e">
        <f t="shared" si="1"/>
        <v>#REF!</v>
      </c>
      <c r="B55" s="2" t="s">
        <v>140</v>
      </c>
      <c r="C55" s="2"/>
      <c r="D55" s="2"/>
      <c r="E55" s="16" t="s">
        <v>215</v>
      </c>
      <c r="F55" s="2" t="s">
        <v>222</v>
      </c>
      <c r="G55" s="10" t="s">
        <v>59</v>
      </c>
      <c r="H55" s="2" t="s">
        <v>62</v>
      </c>
      <c r="I55" s="3" t="s">
        <v>223</v>
      </c>
      <c r="J55" s="2"/>
      <c r="K55" s="2"/>
      <c r="L55" s="2"/>
      <c r="M55" s="2"/>
      <c r="N55" s="2"/>
      <c r="O55" s="29"/>
    </row>
    <row r="56" spans="1:15" ht="75" x14ac:dyDescent="0.25">
      <c r="A56" s="16" t="e">
        <f t="shared" si="1"/>
        <v>#REF!</v>
      </c>
      <c r="B56" s="2" t="s">
        <v>140</v>
      </c>
      <c r="C56" s="2"/>
      <c r="D56" s="2"/>
      <c r="E56" s="16" t="s">
        <v>215</v>
      </c>
      <c r="F56" s="2" t="s">
        <v>224</v>
      </c>
      <c r="G56" s="10" t="s">
        <v>59</v>
      </c>
      <c r="H56" s="2" t="s">
        <v>62</v>
      </c>
      <c r="I56" s="3" t="s">
        <v>225</v>
      </c>
      <c r="J56" s="2"/>
      <c r="K56" s="2"/>
      <c r="L56" s="2"/>
      <c r="M56" s="2"/>
      <c r="N56" s="2" t="s">
        <v>226</v>
      </c>
      <c r="O56" s="29"/>
    </row>
    <row r="57" spans="1:15" ht="45" x14ac:dyDescent="0.25">
      <c r="A57" s="16" t="e">
        <f t="shared" si="1"/>
        <v>#REF!</v>
      </c>
      <c r="B57" s="2" t="s">
        <v>140</v>
      </c>
      <c r="C57" s="2"/>
      <c r="D57" s="2"/>
      <c r="E57" s="16" t="s">
        <v>215</v>
      </c>
      <c r="F57" s="2" t="s">
        <v>227</v>
      </c>
      <c r="G57" s="10" t="s">
        <v>59</v>
      </c>
      <c r="H57" s="2" t="s">
        <v>62</v>
      </c>
      <c r="I57" s="3" t="s">
        <v>228</v>
      </c>
      <c r="J57" s="2"/>
      <c r="K57" s="2"/>
      <c r="L57" s="2"/>
      <c r="M57" s="2"/>
      <c r="N57" s="2"/>
      <c r="O57" s="29"/>
    </row>
    <row r="58" spans="1:15" ht="45" x14ac:dyDescent="0.25">
      <c r="A58" s="16" t="e">
        <f t="shared" si="1"/>
        <v>#REF!</v>
      </c>
      <c r="B58" s="2" t="s">
        <v>140</v>
      </c>
      <c r="C58" s="2"/>
      <c r="D58" s="2"/>
      <c r="E58" s="16" t="s">
        <v>215</v>
      </c>
      <c r="F58" s="2" t="s">
        <v>229</v>
      </c>
      <c r="G58" s="10" t="s">
        <v>59</v>
      </c>
      <c r="H58" s="2" t="s">
        <v>62</v>
      </c>
      <c r="I58" s="3" t="s">
        <v>230</v>
      </c>
      <c r="J58" s="2"/>
      <c r="K58" s="2"/>
      <c r="L58" s="2"/>
      <c r="M58" s="2"/>
      <c r="N58" s="2"/>
      <c r="O58" s="29"/>
    </row>
    <row r="59" spans="1:15" x14ac:dyDescent="0.25">
      <c r="A59" s="16" t="e">
        <f t="shared" si="1"/>
        <v>#REF!</v>
      </c>
      <c r="B59" s="2" t="s">
        <v>140</v>
      </c>
      <c r="C59" s="2"/>
      <c r="D59" s="2"/>
      <c r="E59" s="16" t="s">
        <v>215</v>
      </c>
      <c r="F59" s="2" t="s">
        <v>231</v>
      </c>
      <c r="G59" s="10" t="s">
        <v>59</v>
      </c>
      <c r="H59" s="2" t="s">
        <v>62</v>
      </c>
      <c r="I59" s="3" t="s">
        <v>232</v>
      </c>
      <c r="J59" s="2"/>
      <c r="K59" s="2"/>
      <c r="L59" s="2"/>
      <c r="M59" s="2"/>
      <c r="N59" s="2"/>
      <c r="O59" s="29"/>
    </row>
    <row r="60" spans="1:15" ht="90" x14ac:dyDescent="0.25">
      <c r="A60" s="16" t="e">
        <f t="shared" si="1"/>
        <v>#REF!</v>
      </c>
      <c r="B60" s="2" t="s">
        <v>140</v>
      </c>
      <c r="C60" s="2"/>
      <c r="D60" s="2"/>
      <c r="E60" s="16" t="s">
        <v>233</v>
      </c>
      <c r="F60" s="2" t="s">
        <v>143</v>
      </c>
      <c r="G60" s="10" t="s">
        <v>59</v>
      </c>
      <c r="H60" s="2" t="s">
        <v>62</v>
      </c>
      <c r="I60" s="3" t="s">
        <v>234</v>
      </c>
      <c r="J60" s="2"/>
      <c r="K60" s="2"/>
      <c r="L60" s="2"/>
      <c r="M60" s="2"/>
      <c r="N60" s="2"/>
      <c r="O60" s="29"/>
    </row>
    <row r="61" spans="1:15" x14ac:dyDescent="0.25">
      <c r="A61" s="16" t="e">
        <f t="shared" si="1"/>
        <v>#REF!</v>
      </c>
      <c r="B61" s="2" t="s">
        <v>140</v>
      </c>
      <c r="C61" s="2"/>
      <c r="D61" s="2"/>
      <c r="E61" s="16" t="s">
        <v>233</v>
      </c>
      <c r="F61" s="2" t="s">
        <v>235</v>
      </c>
      <c r="G61" s="10" t="s">
        <v>59</v>
      </c>
      <c r="H61" s="2" t="s">
        <v>62</v>
      </c>
      <c r="I61" s="3" t="s">
        <v>236</v>
      </c>
      <c r="J61" s="2"/>
      <c r="K61" s="2"/>
      <c r="L61" s="2"/>
      <c r="M61" s="2"/>
      <c r="N61" s="2"/>
      <c r="O61" s="29"/>
    </row>
    <row r="62" spans="1:15" x14ac:dyDescent="0.25">
      <c r="A62" s="16" t="e">
        <f t="shared" si="1"/>
        <v>#REF!</v>
      </c>
      <c r="B62" s="2" t="s">
        <v>140</v>
      </c>
      <c r="C62" s="2"/>
      <c r="D62" s="2"/>
      <c r="E62" s="16" t="s">
        <v>233</v>
      </c>
      <c r="F62" s="2" t="s">
        <v>237</v>
      </c>
      <c r="G62" s="10" t="s">
        <v>59</v>
      </c>
      <c r="H62" s="2"/>
      <c r="I62" s="3" t="s">
        <v>238</v>
      </c>
      <c r="J62" s="2"/>
      <c r="K62" s="2"/>
      <c r="L62" s="2"/>
      <c r="M62" s="2"/>
      <c r="N62" s="2"/>
      <c r="O62" s="29"/>
    </row>
    <row r="63" spans="1:15" ht="45" x14ac:dyDescent="0.25">
      <c r="A63" s="16" t="e">
        <f t="shared" si="1"/>
        <v>#REF!</v>
      </c>
      <c r="B63" s="2" t="s">
        <v>140</v>
      </c>
      <c r="C63" s="2"/>
      <c r="D63" s="2"/>
      <c r="E63" s="16" t="s">
        <v>233</v>
      </c>
      <c r="F63" s="2" t="s">
        <v>239</v>
      </c>
      <c r="G63" s="10" t="s">
        <v>59</v>
      </c>
      <c r="H63" s="2" t="s">
        <v>62</v>
      </c>
      <c r="I63" s="3" t="s">
        <v>230</v>
      </c>
      <c r="J63" s="2"/>
      <c r="K63" s="2"/>
      <c r="L63" s="2"/>
      <c r="M63" s="2"/>
      <c r="N63" s="2"/>
      <c r="O63" s="29"/>
    </row>
    <row r="64" spans="1:15" x14ac:dyDescent="0.25">
      <c r="A64" s="16" t="e">
        <f t="shared" si="1"/>
        <v>#REF!</v>
      </c>
      <c r="B64" s="16" t="s">
        <v>240</v>
      </c>
      <c r="C64" s="2"/>
      <c r="D64" s="2"/>
      <c r="E64" s="2"/>
      <c r="F64" s="2" t="s">
        <v>141</v>
      </c>
      <c r="G64" s="10" t="s">
        <v>59</v>
      </c>
      <c r="H64" s="2" t="s">
        <v>62</v>
      </c>
      <c r="I64" s="30" t="s">
        <v>142</v>
      </c>
      <c r="J64" s="2"/>
      <c r="K64" s="2"/>
      <c r="L64" s="2"/>
      <c r="M64" s="2"/>
      <c r="N64" s="2"/>
      <c r="O64" s="29"/>
    </row>
    <row r="65" spans="1:15" ht="45" x14ac:dyDescent="0.25">
      <c r="A65" s="16" t="e">
        <f t="shared" si="1"/>
        <v>#REF!</v>
      </c>
      <c r="B65" s="16" t="s">
        <v>240</v>
      </c>
      <c r="C65" s="2"/>
      <c r="D65" s="2"/>
      <c r="E65" s="2"/>
      <c r="F65" s="2" t="s">
        <v>237</v>
      </c>
      <c r="G65" s="10" t="s">
        <v>59</v>
      </c>
      <c r="H65" s="2" t="s">
        <v>62</v>
      </c>
      <c r="I65" s="3" t="s">
        <v>241</v>
      </c>
      <c r="J65" s="2"/>
      <c r="K65" s="2"/>
      <c r="L65" s="2"/>
      <c r="M65" s="2"/>
      <c r="N65" s="2"/>
      <c r="O65" s="29"/>
    </row>
    <row r="66" spans="1:15" ht="30" x14ac:dyDescent="0.25">
      <c r="A66" s="16" t="e">
        <f t="shared" si="1"/>
        <v>#REF!</v>
      </c>
      <c r="B66" s="16" t="s">
        <v>240</v>
      </c>
      <c r="C66" s="2"/>
      <c r="D66" s="2"/>
      <c r="E66" s="2"/>
      <c r="F66" s="2" t="s">
        <v>242</v>
      </c>
      <c r="G66" s="10" t="s">
        <v>59</v>
      </c>
      <c r="H66" s="2" t="s">
        <v>62</v>
      </c>
      <c r="I66" s="3" t="s">
        <v>243</v>
      </c>
      <c r="J66" s="2"/>
      <c r="K66" s="2"/>
      <c r="L66" s="2"/>
      <c r="M66" s="2"/>
      <c r="N66" s="2" t="s">
        <v>244</v>
      </c>
      <c r="O66" s="29"/>
    </row>
    <row r="67" spans="1:15" ht="90" x14ac:dyDescent="0.25">
      <c r="A67" s="16" t="e">
        <f t="shared" ref="A67:A92" si="2">A66+1</f>
        <v>#REF!</v>
      </c>
      <c r="B67" s="16" t="s">
        <v>240</v>
      </c>
      <c r="C67" s="2"/>
      <c r="D67" s="2"/>
      <c r="E67" s="2"/>
      <c r="F67" s="2" t="s">
        <v>143</v>
      </c>
      <c r="G67" s="10" t="s">
        <v>59</v>
      </c>
      <c r="H67" s="2" t="s">
        <v>62</v>
      </c>
      <c r="I67" s="3" t="s">
        <v>245</v>
      </c>
      <c r="J67" s="2"/>
      <c r="K67" s="2"/>
      <c r="L67" s="2"/>
      <c r="M67" s="2"/>
      <c r="N67" s="2"/>
      <c r="O67" s="29"/>
    </row>
    <row r="68" spans="1:15" ht="75" x14ac:dyDescent="0.25">
      <c r="A68" s="16" t="e">
        <f t="shared" si="2"/>
        <v>#REF!</v>
      </c>
      <c r="B68" s="16" t="s">
        <v>240</v>
      </c>
      <c r="C68" s="2"/>
      <c r="D68" s="2"/>
      <c r="E68" s="2"/>
      <c r="F68" s="2" t="s">
        <v>224</v>
      </c>
      <c r="G68" s="10" t="s">
        <v>59</v>
      </c>
      <c r="H68" s="2" t="s">
        <v>62</v>
      </c>
      <c r="I68" s="3" t="s">
        <v>246</v>
      </c>
      <c r="J68" s="2"/>
      <c r="K68" s="2"/>
      <c r="L68" s="2"/>
      <c r="M68" s="2"/>
      <c r="N68" s="2"/>
      <c r="O68" s="29"/>
    </row>
    <row r="69" spans="1:15" ht="45" x14ac:dyDescent="0.25">
      <c r="A69" s="16" t="e">
        <f t="shared" si="2"/>
        <v>#REF!</v>
      </c>
      <c r="B69" s="16" t="s">
        <v>240</v>
      </c>
      <c r="C69" s="2"/>
      <c r="D69" s="2"/>
      <c r="E69" s="2"/>
      <c r="F69" s="2" t="s">
        <v>227</v>
      </c>
      <c r="G69" s="10" t="s">
        <v>59</v>
      </c>
      <c r="H69" s="2" t="s">
        <v>62</v>
      </c>
      <c r="I69" s="3" t="s">
        <v>247</v>
      </c>
      <c r="J69" s="2"/>
      <c r="K69" s="2"/>
      <c r="L69" s="2"/>
      <c r="M69" s="2"/>
      <c r="N69" s="2"/>
      <c r="O69" s="29"/>
    </row>
    <row r="70" spans="1:15" ht="30" x14ac:dyDescent="0.25">
      <c r="A70" s="16" t="e">
        <f t="shared" si="2"/>
        <v>#REF!</v>
      </c>
      <c r="B70" s="16" t="s">
        <v>240</v>
      </c>
      <c r="C70" s="2"/>
      <c r="D70" s="2"/>
      <c r="E70" s="2"/>
      <c r="F70" s="2" t="s">
        <v>217</v>
      </c>
      <c r="G70" s="10" t="s">
        <v>59</v>
      </c>
      <c r="H70" s="2" t="s">
        <v>62</v>
      </c>
      <c r="I70" s="3" t="s">
        <v>248</v>
      </c>
      <c r="J70" s="2"/>
      <c r="K70" s="2"/>
      <c r="L70" s="2"/>
      <c r="M70" s="2"/>
      <c r="N70" s="2" t="s">
        <v>219</v>
      </c>
      <c r="O70" s="29"/>
    </row>
    <row r="71" spans="1:15" ht="75" x14ac:dyDescent="0.25">
      <c r="A71" s="16" t="e">
        <f t="shared" si="2"/>
        <v>#REF!</v>
      </c>
      <c r="B71" s="16" t="s">
        <v>240</v>
      </c>
      <c r="C71" s="2"/>
      <c r="D71" s="2"/>
      <c r="E71" s="2"/>
      <c r="F71" s="2" t="s">
        <v>229</v>
      </c>
      <c r="G71" s="10" t="s">
        <v>59</v>
      </c>
      <c r="H71" s="2" t="s">
        <v>62</v>
      </c>
      <c r="I71" s="3" t="s">
        <v>249</v>
      </c>
      <c r="J71" s="2"/>
      <c r="K71" s="2"/>
      <c r="L71" s="2"/>
      <c r="M71" s="2"/>
      <c r="N71" s="2"/>
      <c r="O71" s="29"/>
    </row>
    <row r="72" spans="1:15" x14ac:dyDescent="0.25">
      <c r="A72" s="16" t="e">
        <f t="shared" si="2"/>
        <v>#REF!</v>
      </c>
      <c r="B72" s="16" t="s">
        <v>240</v>
      </c>
      <c r="C72" s="2"/>
      <c r="D72" s="2"/>
      <c r="E72" s="2"/>
      <c r="F72" s="2" t="s">
        <v>250</v>
      </c>
      <c r="G72" s="10" t="s">
        <v>59</v>
      </c>
      <c r="H72" s="2" t="s">
        <v>62</v>
      </c>
      <c r="I72" s="3" t="s">
        <v>251</v>
      </c>
      <c r="J72" s="2"/>
      <c r="K72" s="2"/>
      <c r="L72" s="2"/>
      <c r="M72" s="2"/>
      <c r="N72" s="2"/>
      <c r="O72" s="29"/>
    </row>
    <row r="73" spans="1:15" ht="45" x14ac:dyDescent="0.25">
      <c r="A73" s="16" t="e">
        <f t="shared" si="2"/>
        <v>#REF!</v>
      </c>
      <c r="B73" s="16" t="s">
        <v>240</v>
      </c>
      <c r="C73" s="2"/>
      <c r="D73" s="2"/>
      <c r="E73" s="2"/>
      <c r="F73" s="2" t="s">
        <v>220</v>
      </c>
      <c r="G73" s="10" t="s">
        <v>59</v>
      </c>
      <c r="H73" s="2" t="s">
        <v>62</v>
      </c>
      <c r="I73" s="3" t="s">
        <v>252</v>
      </c>
      <c r="J73" s="2"/>
      <c r="K73" s="2"/>
      <c r="L73" s="2"/>
      <c r="M73" s="2"/>
      <c r="N73" s="2"/>
      <c r="O73" s="29"/>
    </row>
    <row r="74" spans="1:15" ht="30" x14ac:dyDescent="0.25">
      <c r="A74" s="16" t="e">
        <f t="shared" si="2"/>
        <v>#REF!</v>
      </c>
      <c r="B74" s="16" t="s">
        <v>240</v>
      </c>
      <c r="C74" s="2"/>
      <c r="D74" s="2"/>
      <c r="E74" s="2"/>
      <c r="F74" s="2" t="s">
        <v>222</v>
      </c>
      <c r="G74" s="10" t="s">
        <v>59</v>
      </c>
      <c r="H74" s="2" t="s">
        <v>62</v>
      </c>
      <c r="I74" s="3" t="s">
        <v>223</v>
      </c>
      <c r="J74" s="2"/>
      <c r="K74" s="2"/>
      <c r="L74" s="2"/>
      <c r="M74" s="2"/>
      <c r="N74" s="2"/>
      <c r="O74" s="29"/>
    </row>
    <row r="75" spans="1:15" x14ac:dyDescent="0.25">
      <c r="A75" s="16" t="e">
        <f t="shared" si="2"/>
        <v>#REF!</v>
      </c>
      <c r="B75" s="16" t="s">
        <v>240</v>
      </c>
      <c r="C75" s="2"/>
      <c r="D75" s="2"/>
      <c r="E75" s="2"/>
      <c r="F75" s="2" t="s">
        <v>231</v>
      </c>
      <c r="G75" s="10" t="s">
        <v>59</v>
      </c>
      <c r="H75" s="2" t="s">
        <v>62</v>
      </c>
      <c r="I75" s="3" t="s">
        <v>253</v>
      </c>
      <c r="J75" s="2"/>
      <c r="K75" s="2"/>
      <c r="L75" s="2"/>
      <c r="M75" s="2"/>
      <c r="N75" s="2"/>
      <c r="O75" s="29"/>
    </row>
    <row r="76" spans="1:15" ht="30" x14ac:dyDescent="0.25">
      <c r="A76" s="16" t="e">
        <f t="shared" si="2"/>
        <v>#REF!</v>
      </c>
      <c r="B76" s="16" t="s">
        <v>240</v>
      </c>
      <c r="C76" s="2"/>
      <c r="D76" s="2"/>
      <c r="E76" s="2"/>
      <c r="F76" s="2" t="s">
        <v>254</v>
      </c>
      <c r="G76" s="10" t="s">
        <v>59</v>
      </c>
      <c r="H76" s="2" t="s">
        <v>62</v>
      </c>
      <c r="I76" s="3" t="s">
        <v>255</v>
      </c>
      <c r="J76" s="2"/>
      <c r="K76" s="2"/>
      <c r="L76" s="2"/>
      <c r="M76" s="2"/>
      <c r="N76" s="2" t="s">
        <v>256</v>
      </c>
      <c r="O76" s="29"/>
    </row>
    <row r="77" spans="1:15" ht="45" x14ac:dyDescent="0.25">
      <c r="A77" s="16" t="e">
        <f t="shared" si="2"/>
        <v>#REF!</v>
      </c>
      <c r="B77" s="16" t="s">
        <v>240</v>
      </c>
      <c r="C77" s="2"/>
      <c r="D77" s="2"/>
      <c r="E77" s="2"/>
      <c r="F77" s="2" t="s">
        <v>235</v>
      </c>
      <c r="G77" s="10" t="s">
        <v>59</v>
      </c>
      <c r="H77" s="2" t="s">
        <v>62</v>
      </c>
      <c r="I77" s="3" t="s">
        <v>257</v>
      </c>
      <c r="J77" s="2"/>
      <c r="K77" s="2"/>
      <c r="L77" s="2"/>
      <c r="M77" s="2"/>
      <c r="N77" s="2"/>
      <c r="O77" s="29"/>
    </row>
    <row r="78" spans="1:15" ht="240" x14ac:dyDescent="0.25">
      <c r="A78" s="16" t="e">
        <f t="shared" si="2"/>
        <v>#REF!</v>
      </c>
      <c r="B78" s="16" t="s">
        <v>240</v>
      </c>
      <c r="C78" s="2"/>
      <c r="D78" s="2"/>
      <c r="E78" s="2"/>
      <c r="F78" s="2" t="s">
        <v>190</v>
      </c>
      <c r="G78" s="10" t="s">
        <v>76</v>
      </c>
      <c r="H78" s="2" t="s">
        <v>62</v>
      </c>
      <c r="I78" s="3" t="s">
        <v>258</v>
      </c>
      <c r="J78" s="2"/>
      <c r="K78" s="2"/>
      <c r="L78" s="2"/>
      <c r="M78" s="2"/>
      <c r="N78" s="2"/>
      <c r="O78" s="29"/>
    </row>
    <row r="79" spans="1:15" x14ac:dyDescent="0.25">
      <c r="A79" s="16" t="e">
        <f t="shared" si="2"/>
        <v>#REF!</v>
      </c>
      <c r="B79" s="16" t="s">
        <v>259</v>
      </c>
      <c r="C79" s="2"/>
      <c r="D79" s="2"/>
      <c r="E79" s="2"/>
      <c r="F79" s="2" t="s">
        <v>141</v>
      </c>
      <c r="G79" s="10" t="s">
        <v>59</v>
      </c>
      <c r="H79" s="2" t="s">
        <v>62</v>
      </c>
      <c r="I79" s="3" t="s">
        <v>142</v>
      </c>
      <c r="J79" s="2"/>
      <c r="K79" s="2"/>
      <c r="L79" s="2"/>
      <c r="M79" s="2"/>
      <c r="N79" s="2"/>
      <c r="O79" s="29"/>
    </row>
    <row r="80" spans="1:15" ht="75" x14ac:dyDescent="0.25">
      <c r="A80" s="16" t="e">
        <f t="shared" si="2"/>
        <v>#REF!</v>
      </c>
      <c r="B80" s="16" t="s">
        <v>259</v>
      </c>
      <c r="C80" s="2"/>
      <c r="D80" s="2"/>
      <c r="E80" s="2"/>
      <c r="F80" s="2" t="s">
        <v>260</v>
      </c>
      <c r="G80" s="10" t="s">
        <v>59</v>
      </c>
      <c r="H80" s="2" t="s">
        <v>62</v>
      </c>
      <c r="I80" s="3" t="s">
        <v>261</v>
      </c>
      <c r="J80" s="2"/>
      <c r="K80" s="2"/>
      <c r="L80" s="2"/>
      <c r="M80" s="2"/>
      <c r="N80" s="2"/>
      <c r="O80" s="29"/>
    </row>
    <row r="81" spans="1:17" ht="45" x14ac:dyDescent="0.25">
      <c r="A81" s="16" t="e">
        <f t="shared" si="2"/>
        <v>#REF!</v>
      </c>
      <c r="B81" s="16" t="s">
        <v>259</v>
      </c>
      <c r="C81" s="2"/>
      <c r="D81" s="2"/>
      <c r="E81" s="2"/>
      <c r="F81" s="2" t="s">
        <v>237</v>
      </c>
      <c r="G81" s="10" t="s">
        <v>59</v>
      </c>
      <c r="H81" s="2" t="s">
        <v>62</v>
      </c>
      <c r="I81" s="3" t="s">
        <v>262</v>
      </c>
      <c r="J81" s="2"/>
      <c r="K81" s="2"/>
      <c r="L81" s="2"/>
      <c r="M81" s="2"/>
      <c r="N81" s="2"/>
      <c r="O81" s="29"/>
    </row>
    <row r="82" spans="1:17" ht="60" x14ac:dyDescent="0.25">
      <c r="A82" s="16" t="e">
        <f t="shared" si="2"/>
        <v>#REF!</v>
      </c>
      <c r="B82" s="16" t="s">
        <v>259</v>
      </c>
      <c r="C82" s="2"/>
      <c r="D82" s="2"/>
      <c r="E82" s="2"/>
      <c r="F82" s="2" t="s">
        <v>143</v>
      </c>
      <c r="G82" s="10" t="s">
        <v>59</v>
      </c>
      <c r="H82" s="2" t="s">
        <v>62</v>
      </c>
      <c r="I82" s="3" t="s">
        <v>263</v>
      </c>
      <c r="J82" s="2" t="s">
        <v>264</v>
      </c>
      <c r="K82" s="2"/>
      <c r="L82" s="2"/>
      <c r="M82" s="2"/>
      <c r="N82" s="2"/>
      <c r="O82" s="29"/>
    </row>
    <row r="83" spans="1:17" ht="45" x14ac:dyDescent="0.25">
      <c r="A83" s="16" t="e">
        <f t="shared" si="2"/>
        <v>#REF!</v>
      </c>
      <c r="B83" s="16" t="s">
        <v>259</v>
      </c>
      <c r="C83" s="2"/>
      <c r="D83" s="2"/>
      <c r="E83" s="2"/>
      <c r="F83" s="2" t="s">
        <v>265</v>
      </c>
      <c r="G83" s="10" t="s">
        <v>59</v>
      </c>
      <c r="H83" s="2" t="s">
        <v>62</v>
      </c>
      <c r="I83" s="3" t="s">
        <v>266</v>
      </c>
      <c r="J83" s="2"/>
      <c r="K83" s="2"/>
      <c r="L83" s="2"/>
      <c r="M83" s="2"/>
      <c r="N83" s="2"/>
      <c r="O83" s="29"/>
    </row>
    <row r="84" spans="1:17" ht="90" x14ac:dyDescent="0.25">
      <c r="A84" s="16" t="e">
        <f t="shared" si="2"/>
        <v>#REF!</v>
      </c>
      <c r="B84" s="16" t="s">
        <v>259</v>
      </c>
      <c r="C84" s="2"/>
      <c r="D84" s="2"/>
      <c r="E84" s="2"/>
      <c r="F84" s="2" t="s">
        <v>267</v>
      </c>
      <c r="G84" s="10" t="s">
        <v>59</v>
      </c>
      <c r="H84" s="2" t="s">
        <v>62</v>
      </c>
      <c r="I84" s="3" t="s">
        <v>268</v>
      </c>
      <c r="J84" s="2"/>
      <c r="K84" s="2"/>
      <c r="L84" s="2"/>
      <c r="M84" s="2"/>
      <c r="N84" s="2"/>
      <c r="O84" s="29"/>
    </row>
    <row r="85" spans="1:17" ht="210" x14ac:dyDescent="0.25">
      <c r="A85" s="16" t="e">
        <f t="shared" si="2"/>
        <v>#REF!</v>
      </c>
      <c r="B85" s="16" t="s">
        <v>259</v>
      </c>
      <c r="C85" s="2"/>
      <c r="D85" s="2"/>
      <c r="E85" s="2"/>
      <c r="F85" s="2" t="s">
        <v>269</v>
      </c>
      <c r="G85" s="10" t="s">
        <v>59</v>
      </c>
      <c r="H85" s="2" t="s">
        <v>62</v>
      </c>
      <c r="I85" s="3" t="s">
        <v>270</v>
      </c>
      <c r="J85" s="2"/>
      <c r="K85" s="2"/>
      <c r="L85" s="2"/>
      <c r="M85" s="2" t="s">
        <v>271</v>
      </c>
      <c r="N85" s="2"/>
      <c r="O85" s="29"/>
    </row>
    <row r="86" spans="1:17" ht="60" x14ac:dyDescent="0.25">
      <c r="A86" s="16" t="e">
        <f t="shared" si="2"/>
        <v>#REF!</v>
      </c>
      <c r="B86" s="16" t="s">
        <v>259</v>
      </c>
      <c r="C86" s="2"/>
      <c r="D86" s="2"/>
      <c r="E86" s="2"/>
      <c r="F86" s="2" t="s">
        <v>235</v>
      </c>
      <c r="G86" s="10" t="s">
        <v>59</v>
      </c>
      <c r="H86" s="2" t="s">
        <v>62</v>
      </c>
      <c r="I86" s="3" t="s">
        <v>272</v>
      </c>
      <c r="J86" s="2"/>
      <c r="K86" s="2"/>
      <c r="L86" s="2"/>
      <c r="M86" s="2"/>
      <c r="N86" s="2"/>
      <c r="O86" s="29"/>
    </row>
    <row r="87" spans="1:17" ht="60" x14ac:dyDescent="0.25">
      <c r="A87" s="16" t="e">
        <f t="shared" si="2"/>
        <v>#REF!</v>
      </c>
      <c r="B87" s="16" t="s">
        <v>259</v>
      </c>
      <c r="C87" s="2"/>
      <c r="D87" s="2"/>
      <c r="E87" s="2"/>
      <c r="F87" s="2" t="s">
        <v>273</v>
      </c>
      <c r="G87" s="10" t="s">
        <v>59</v>
      </c>
      <c r="H87" s="2" t="s">
        <v>62</v>
      </c>
      <c r="I87" s="3" t="s">
        <v>274</v>
      </c>
      <c r="J87" s="2"/>
      <c r="K87" s="2"/>
      <c r="L87" s="2"/>
      <c r="M87" s="2"/>
      <c r="N87" s="2"/>
      <c r="O87" s="29"/>
    </row>
    <row r="88" spans="1:17" ht="120" x14ac:dyDescent="0.25">
      <c r="A88" s="16" t="e">
        <f t="shared" si="2"/>
        <v>#REF!</v>
      </c>
      <c r="B88" s="2" t="s">
        <v>275</v>
      </c>
      <c r="C88" s="2"/>
      <c r="D88" s="2"/>
      <c r="E88" s="2"/>
      <c r="F88" s="2" t="s">
        <v>276</v>
      </c>
      <c r="G88" s="2" t="s">
        <v>59</v>
      </c>
      <c r="H88" s="2" t="s">
        <v>62</v>
      </c>
      <c r="I88" s="3" t="s">
        <v>277</v>
      </c>
      <c r="J88" s="2"/>
      <c r="K88" s="2"/>
      <c r="L88" s="2"/>
      <c r="M88" s="2"/>
      <c r="N88" s="2"/>
      <c r="O88" s="2"/>
      <c r="P88" s="2"/>
    </row>
    <row r="89" spans="1:17" ht="150" x14ac:dyDescent="0.25">
      <c r="A89" s="16" t="e">
        <f t="shared" si="2"/>
        <v>#REF!</v>
      </c>
      <c r="B89" s="2" t="s">
        <v>275</v>
      </c>
      <c r="C89" s="2"/>
      <c r="D89" s="2"/>
      <c r="E89" s="2"/>
      <c r="F89" s="2" t="s">
        <v>278</v>
      </c>
      <c r="G89" s="2" t="s">
        <v>59</v>
      </c>
      <c r="H89" s="2" t="s">
        <v>62</v>
      </c>
      <c r="I89" s="3" t="s">
        <v>279</v>
      </c>
      <c r="J89" s="2"/>
      <c r="K89" s="2"/>
      <c r="L89" s="2"/>
      <c r="M89" s="2"/>
      <c r="N89" s="2"/>
      <c r="O89" s="2"/>
      <c r="P89" s="2"/>
    </row>
    <row r="90" spans="1:17" ht="90" x14ac:dyDescent="0.25">
      <c r="A90" s="16" t="e">
        <f t="shared" si="2"/>
        <v>#REF!</v>
      </c>
      <c r="B90" s="2" t="s">
        <v>275</v>
      </c>
      <c r="C90" s="2"/>
      <c r="D90" s="2"/>
      <c r="E90" s="2"/>
      <c r="F90" s="2" t="s">
        <v>114</v>
      </c>
      <c r="G90" s="2" t="s">
        <v>59</v>
      </c>
      <c r="H90" s="2" t="s">
        <v>62</v>
      </c>
      <c r="I90" s="3" t="s">
        <v>280</v>
      </c>
      <c r="J90" s="2"/>
      <c r="K90" s="2"/>
      <c r="L90" s="2"/>
      <c r="M90" s="2"/>
      <c r="N90" s="2"/>
      <c r="O90" s="2"/>
      <c r="P90" s="2"/>
    </row>
    <row r="91" spans="1:17" ht="75" customHeight="1" x14ac:dyDescent="0.25">
      <c r="A91" s="16" t="e">
        <f t="shared" si="2"/>
        <v>#REF!</v>
      </c>
      <c r="B91" s="2" t="s">
        <v>281</v>
      </c>
      <c r="C91" s="2"/>
      <c r="D91" s="2"/>
      <c r="E91" s="2"/>
      <c r="F91" s="2" t="s">
        <v>282</v>
      </c>
      <c r="G91" s="2" t="s">
        <v>94</v>
      </c>
      <c r="H91" s="2" t="s">
        <v>62</v>
      </c>
      <c r="I91" s="3" t="s">
        <v>283</v>
      </c>
      <c r="J91" s="2"/>
      <c r="K91" s="2"/>
      <c r="L91" s="2"/>
      <c r="M91" s="2"/>
      <c r="N91" s="2"/>
      <c r="O91" s="2"/>
      <c r="P91" s="2"/>
      <c r="Q91" s="76" t="s">
        <v>284</v>
      </c>
    </row>
    <row r="92" spans="1:17" ht="150" customHeight="1" x14ac:dyDescent="0.25">
      <c r="A92" s="16" t="e">
        <f t="shared" si="2"/>
        <v>#REF!</v>
      </c>
      <c r="B92" s="2" t="s">
        <v>281</v>
      </c>
      <c r="C92" s="2"/>
      <c r="D92" s="2"/>
      <c r="E92" s="2"/>
      <c r="F92" s="2" t="s">
        <v>276</v>
      </c>
      <c r="G92" s="2" t="s">
        <v>59</v>
      </c>
      <c r="H92" s="2" t="s">
        <v>62</v>
      </c>
      <c r="I92" s="3" t="s">
        <v>285</v>
      </c>
      <c r="J92" s="2"/>
      <c r="K92" s="2"/>
      <c r="L92" s="2"/>
      <c r="M92" s="2"/>
      <c r="N92" s="2"/>
      <c r="O92" s="2"/>
      <c r="P92" s="2"/>
      <c r="Q92" s="76"/>
    </row>
  </sheetData>
  <mergeCells count="1">
    <mergeCell ref="Q91:Q9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E853-2798-4156-AAAB-0750264D3328}">
  <dimension ref="A1:P29"/>
  <sheetViews>
    <sheetView zoomScale="70" zoomScaleNormal="70" workbookViewId="0">
      <selection activeCell="A2" sqref="A2:XFD2"/>
    </sheetView>
  </sheetViews>
  <sheetFormatPr defaultRowHeight="15" x14ac:dyDescent="0.25"/>
  <cols>
    <col min="2" max="2" width="36.140625" bestFit="1" customWidth="1"/>
    <col min="5" max="5" width="30.28515625" bestFit="1" customWidth="1"/>
    <col min="6" max="6" width="16.140625" customWidth="1"/>
    <col min="8" max="8" width="65.85546875" style="1" customWidth="1"/>
    <col min="13" max="13" width="26.85546875" bestFit="1" customWidth="1"/>
  </cols>
  <sheetData>
    <row r="1" spans="1:16" s="4" customFormat="1" x14ac:dyDescent="0.25">
      <c r="A1" s="77" t="s">
        <v>286</v>
      </c>
      <c r="B1" s="77"/>
      <c r="C1" s="77"/>
      <c r="D1" s="77"/>
      <c r="E1" s="77"/>
      <c r="F1" s="77"/>
      <c r="G1" s="77"/>
      <c r="H1" s="77"/>
      <c r="I1" s="77"/>
      <c r="J1" s="77"/>
      <c r="K1" s="77"/>
      <c r="L1" s="77"/>
      <c r="M1" s="77"/>
      <c r="N1" s="77"/>
    </row>
    <row r="2" spans="1:16" s="4" customFormat="1" ht="18.75" x14ac:dyDescent="0.3">
      <c r="A2" s="65" t="s">
        <v>786</v>
      </c>
      <c r="B2" s="65" t="s">
        <v>787</v>
      </c>
      <c r="C2" s="65"/>
      <c r="D2" s="65"/>
      <c r="E2" s="65"/>
      <c r="F2" s="65"/>
      <c r="G2" s="65"/>
      <c r="H2" s="65"/>
      <c r="I2" s="65"/>
      <c r="J2" s="65"/>
      <c r="K2" s="65"/>
      <c r="L2" s="65"/>
      <c r="M2" s="65"/>
      <c r="N2" s="65"/>
    </row>
    <row r="3" spans="1:16" ht="18.75" x14ac:dyDescent="0.3">
      <c r="A3" s="71" t="s">
        <v>38</v>
      </c>
      <c r="B3" s="71"/>
      <c r="C3" s="71"/>
      <c r="D3" s="71"/>
      <c r="E3" s="71"/>
      <c r="F3" s="71"/>
      <c r="G3" s="71"/>
      <c r="H3" s="71"/>
      <c r="I3" s="71"/>
      <c r="J3" s="71"/>
      <c r="K3" s="71"/>
      <c r="L3" s="71"/>
      <c r="M3" s="71"/>
      <c r="N3" s="71"/>
    </row>
    <row r="4" spans="1:16" x14ac:dyDescent="0.25">
      <c r="A4" s="73" t="s">
        <v>39</v>
      </c>
      <c r="B4" s="73"/>
      <c r="C4" s="73"/>
      <c r="D4" s="73"/>
      <c r="E4" s="73"/>
      <c r="F4" s="73"/>
      <c r="G4" s="73"/>
      <c r="H4" s="73"/>
      <c r="I4" s="73"/>
      <c r="J4" s="73"/>
      <c r="K4" s="73"/>
      <c r="L4" s="73"/>
      <c r="M4" s="73"/>
      <c r="N4" s="73"/>
    </row>
    <row r="5" spans="1:16" ht="18.75" x14ac:dyDescent="0.3">
      <c r="A5" s="71" t="s">
        <v>40</v>
      </c>
      <c r="B5" s="71"/>
      <c r="C5" s="71"/>
      <c r="D5" s="71"/>
      <c r="E5" s="71"/>
      <c r="F5" s="71"/>
      <c r="G5" s="71"/>
      <c r="H5" s="71"/>
      <c r="I5" s="71"/>
      <c r="J5" s="71"/>
      <c r="K5" s="71"/>
      <c r="L5" s="71"/>
      <c r="M5" s="71"/>
      <c r="N5" s="71"/>
    </row>
    <row r="6" spans="1:16" ht="120" x14ac:dyDescent="0.25">
      <c r="A6" s="5" t="s">
        <v>41</v>
      </c>
      <c r="B6" s="5" t="s">
        <v>42</v>
      </c>
      <c r="C6" s="5" t="s">
        <v>43</v>
      </c>
      <c r="D6" s="5" t="s">
        <v>44</v>
      </c>
      <c r="E6" s="5" t="s">
        <v>46</v>
      </c>
      <c r="F6" s="5" t="s">
        <v>47</v>
      </c>
      <c r="G6" s="5" t="s">
        <v>48</v>
      </c>
      <c r="H6" s="5" t="s">
        <v>49</v>
      </c>
      <c r="I6" s="9" t="s">
        <v>287</v>
      </c>
      <c r="J6" s="5" t="s">
        <v>50</v>
      </c>
      <c r="K6" s="5" t="s">
        <v>51</v>
      </c>
      <c r="L6" s="5" t="s">
        <v>52</v>
      </c>
      <c r="M6" s="5" t="s">
        <v>53</v>
      </c>
      <c r="N6" s="6" t="s">
        <v>54</v>
      </c>
      <c r="O6" s="9" t="s">
        <v>56</v>
      </c>
    </row>
    <row r="7" spans="1:16" ht="225" x14ac:dyDescent="0.25">
      <c r="A7" s="2">
        <v>1</v>
      </c>
      <c r="B7" s="2"/>
      <c r="C7" s="2"/>
      <c r="D7" s="2"/>
      <c r="E7" s="2" t="s">
        <v>58</v>
      </c>
      <c r="F7" s="2" t="s">
        <v>59</v>
      </c>
      <c r="G7" s="2" t="s">
        <v>62</v>
      </c>
      <c r="H7" s="3" t="s">
        <v>288</v>
      </c>
      <c r="I7" s="42" t="s">
        <v>60</v>
      </c>
      <c r="J7" s="2"/>
      <c r="K7" s="2" t="s">
        <v>62</v>
      </c>
      <c r="L7" s="2"/>
      <c r="M7" s="2"/>
      <c r="N7" s="2"/>
      <c r="O7" s="2" t="s">
        <v>60</v>
      </c>
    </row>
    <row r="8" spans="1:16" ht="60" x14ac:dyDescent="0.25">
      <c r="A8" s="17" cm="1">
        <f t="array" aca="1" ref="A8" ca="1">INDIRECT(ADDRESS(ROW()-1,COLUMN()))+1</f>
        <v>2</v>
      </c>
      <c r="B8" s="2"/>
      <c r="C8" s="2"/>
      <c r="D8" s="2"/>
      <c r="E8" s="2" t="s">
        <v>63</v>
      </c>
      <c r="F8" s="2" t="s">
        <v>23</v>
      </c>
      <c r="G8" s="2" t="s">
        <v>62</v>
      </c>
      <c r="H8" s="3" t="s">
        <v>289</v>
      </c>
      <c r="I8" s="42" t="s">
        <v>60</v>
      </c>
      <c r="J8" s="2"/>
      <c r="K8" s="2" t="s">
        <v>62</v>
      </c>
      <c r="L8" s="2"/>
      <c r="M8" s="2"/>
      <c r="N8" s="2"/>
      <c r="O8" s="2" t="s">
        <v>60</v>
      </c>
    </row>
    <row r="9" spans="1:16" ht="60" x14ac:dyDescent="0.25">
      <c r="A9" s="17" cm="1">
        <f t="array" aca="1" ref="A9" ca="1">INDIRECT(ADDRESS(ROW()-1,COLUMN()))+1</f>
        <v>3</v>
      </c>
      <c r="B9" s="2"/>
      <c r="C9" s="2"/>
      <c r="D9" s="2"/>
      <c r="E9" s="2" t="s">
        <v>103</v>
      </c>
      <c r="F9" s="2" t="s">
        <v>59</v>
      </c>
      <c r="G9" s="2" t="s">
        <v>60</v>
      </c>
      <c r="H9" s="3" t="s">
        <v>290</v>
      </c>
      <c r="I9" s="42" t="s">
        <v>62</v>
      </c>
      <c r="J9" s="2"/>
      <c r="K9" s="2"/>
      <c r="L9" s="2"/>
      <c r="M9" s="2"/>
      <c r="N9" s="2"/>
      <c r="O9" s="2" t="s">
        <v>60</v>
      </c>
    </row>
    <row r="10" spans="1:16" ht="180" x14ac:dyDescent="0.25">
      <c r="A10" s="17" cm="1">
        <f t="array" aca="1" ref="A10" ca="1">INDIRECT(ADDRESS(ROW()-1,COLUMN()))+1</f>
        <v>4</v>
      </c>
      <c r="B10" s="2"/>
      <c r="C10" s="2"/>
      <c r="D10" s="2"/>
      <c r="E10" s="2" t="s">
        <v>80</v>
      </c>
      <c r="F10" s="2" t="s">
        <v>59</v>
      </c>
      <c r="G10" s="2" t="s">
        <v>62</v>
      </c>
      <c r="H10" s="3" t="s">
        <v>291</v>
      </c>
      <c r="I10" s="42" t="s">
        <v>60</v>
      </c>
      <c r="J10" s="2"/>
      <c r="K10" s="2"/>
      <c r="L10" s="2"/>
      <c r="M10" s="2"/>
      <c r="N10" s="2" t="s">
        <v>82</v>
      </c>
      <c r="O10" s="2" t="s">
        <v>60</v>
      </c>
    </row>
    <row r="11" spans="1:16" ht="255" x14ac:dyDescent="0.25">
      <c r="A11" s="17" cm="1">
        <f t="array" aca="1" ref="A11" ca="1">INDIRECT(ADDRESS(ROW()-1,COLUMN()))+1</f>
        <v>5</v>
      </c>
      <c r="B11" s="2"/>
      <c r="C11" s="2"/>
      <c r="D11" s="2"/>
      <c r="E11" s="2" t="s">
        <v>93</v>
      </c>
      <c r="F11" s="2" t="s">
        <v>94</v>
      </c>
      <c r="G11" s="2" t="s">
        <v>62</v>
      </c>
      <c r="H11" s="3" t="s">
        <v>96</v>
      </c>
      <c r="I11" s="42" t="s">
        <v>60</v>
      </c>
      <c r="J11" s="2"/>
      <c r="K11" s="2"/>
      <c r="L11" s="2"/>
      <c r="M11" s="2"/>
      <c r="N11" s="2"/>
      <c r="O11" s="2" t="s">
        <v>60</v>
      </c>
      <c r="P11" s="2"/>
    </row>
    <row r="12" spans="1:16" ht="90" x14ac:dyDescent="0.25">
      <c r="A12" s="17" cm="1">
        <f t="array" aca="1" ref="A12" ca="1">INDIRECT(ADDRESS(ROW()-1,COLUMN()))+1</f>
        <v>6</v>
      </c>
      <c r="B12" s="2"/>
      <c r="C12" s="2"/>
      <c r="D12" s="2"/>
      <c r="E12" s="2" t="s">
        <v>65</v>
      </c>
      <c r="F12" s="2" t="s">
        <v>59</v>
      </c>
      <c r="G12" s="2" t="s">
        <v>62</v>
      </c>
      <c r="H12" s="3" t="s">
        <v>292</v>
      </c>
      <c r="I12" s="41" t="s">
        <v>62</v>
      </c>
      <c r="J12" s="2"/>
      <c r="K12" s="2" t="s">
        <v>62</v>
      </c>
      <c r="L12" s="2"/>
      <c r="M12" s="2"/>
      <c r="N12" s="2"/>
      <c r="O12" s="2" t="s">
        <v>60</v>
      </c>
      <c r="P12" s="2" t="s">
        <v>60</v>
      </c>
    </row>
    <row r="13" spans="1:16" ht="60" x14ac:dyDescent="0.25">
      <c r="A13" s="17" cm="1">
        <f t="array" aca="1" ref="A13" ca="1">INDIRECT(ADDRESS(ROW()-1,COLUMN()))+1</f>
        <v>7</v>
      </c>
      <c r="B13" s="2"/>
      <c r="C13" s="2"/>
      <c r="D13" s="2"/>
      <c r="E13" s="2" t="s">
        <v>67</v>
      </c>
      <c r="F13" s="2" t="s">
        <v>59</v>
      </c>
      <c r="G13" s="2" t="s">
        <v>62</v>
      </c>
      <c r="H13" s="3" t="s">
        <v>293</v>
      </c>
      <c r="I13" s="41" t="s">
        <v>62</v>
      </c>
      <c r="J13" s="2"/>
      <c r="K13" s="2" t="s">
        <v>62</v>
      </c>
      <c r="L13" s="2"/>
      <c r="M13" s="2"/>
      <c r="N13" s="2"/>
      <c r="O13" s="2" t="s">
        <v>62</v>
      </c>
      <c r="P13" s="43" t="s">
        <v>60</v>
      </c>
    </row>
    <row r="14" spans="1:16" ht="45" x14ac:dyDescent="0.25">
      <c r="A14" s="17" cm="1">
        <f t="array" aca="1" ref="A14" ca="1">INDIRECT(ADDRESS(ROW()-1,COLUMN()))+1</f>
        <v>8</v>
      </c>
      <c r="B14" s="2"/>
      <c r="C14" s="2"/>
      <c r="D14" s="2"/>
      <c r="E14" s="2" t="s">
        <v>69</v>
      </c>
      <c r="F14" s="2" t="s">
        <v>23</v>
      </c>
      <c r="G14" s="2" t="s">
        <v>62</v>
      </c>
      <c r="H14" s="3" t="s">
        <v>70</v>
      </c>
      <c r="I14" s="41" t="s">
        <v>62</v>
      </c>
      <c r="J14" s="2"/>
      <c r="K14" s="2"/>
      <c r="L14" s="2"/>
      <c r="M14" s="2"/>
      <c r="N14" s="2"/>
      <c r="O14" s="2"/>
      <c r="P14" s="2" t="s">
        <v>60</v>
      </c>
    </row>
    <row r="16" spans="1:16" ht="75" x14ac:dyDescent="0.25">
      <c r="A16" s="17" cm="1">
        <f t="array" aca="1" ref="A16" ca="1">INDIRECT(ADDRESS(ROW()-1,COLUMN()))+1</f>
        <v>1</v>
      </c>
      <c r="B16" s="2"/>
      <c r="C16" s="2"/>
      <c r="D16" s="2"/>
      <c r="E16" s="2" t="s">
        <v>71</v>
      </c>
      <c r="F16" s="2" t="s">
        <v>23</v>
      </c>
      <c r="G16" s="2" t="s">
        <v>62</v>
      </c>
      <c r="H16" s="3" t="s">
        <v>72</v>
      </c>
      <c r="I16" s="41" t="s">
        <v>62</v>
      </c>
      <c r="J16" s="2"/>
      <c r="K16" s="2"/>
      <c r="L16" s="2"/>
      <c r="M16" s="2"/>
      <c r="N16" s="2"/>
      <c r="O16" s="2" t="s">
        <v>60</v>
      </c>
      <c r="P16" s="2"/>
    </row>
    <row r="17" spans="1:16" x14ac:dyDescent="0.25">
      <c r="A17" s="17" cm="1">
        <f t="array" aca="1" ref="A17" ca="1">INDIRECT(ADDRESS(ROW()-1,COLUMN()))+1</f>
        <v>2</v>
      </c>
      <c r="B17" s="2"/>
      <c r="C17" s="2"/>
      <c r="D17" s="2"/>
      <c r="E17" s="2" t="s">
        <v>73</v>
      </c>
      <c r="F17" s="2" t="s">
        <v>59</v>
      </c>
      <c r="G17" s="2" t="s">
        <v>62</v>
      </c>
      <c r="H17" s="3" t="s">
        <v>74</v>
      </c>
      <c r="I17" s="41" t="s">
        <v>62</v>
      </c>
      <c r="J17" s="2"/>
      <c r="K17" s="2" t="s">
        <v>62</v>
      </c>
      <c r="L17" s="2"/>
      <c r="M17" s="2"/>
      <c r="N17" s="2"/>
      <c r="O17" s="2" t="s">
        <v>60</v>
      </c>
      <c r="P17" s="2"/>
    </row>
    <row r="18" spans="1:16" x14ac:dyDescent="0.25">
      <c r="A18" s="17" cm="1">
        <f t="array" aca="1" ref="A18" ca="1">INDIRECT(ADDRESS(ROW()-1,COLUMN()))+1</f>
        <v>3</v>
      </c>
      <c r="B18" s="2"/>
      <c r="C18" s="2"/>
      <c r="D18" s="2"/>
      <c r="E18" s="2" t="s">
        <v>75</v>
      </c>
      <c r="F18" s="2" t="s">
        <v>76</v>
      </c>
      <c r="G18" s="2" t="s">
        <v>62</v>
      </c>
      <c r="H18" s="3" t="s">
        <v>77</v>
      </c>
      <c r="I18" s="41" t="s">
        <v>62</v>
      </c>
      <c r="J18" s="2"/>
      <c r="K18" s="2"/>
      <c r="L18" s="2"/>
      <c r="M18" s="2"/>
      <c r="N18" s="2"/>
      <c r="O18" s="2" t="s">
        <v>60</v>
      </c>
      <c r="P18" s="2"/>
    </row>
    <row r="19" spans="1:16" x14ac:dyDescent="0.25">
      <c r="A19" s="17" cm="1">
        <f t="array" aca="1" ref="A19" ca="1">INDIRECT(ADDRESS(ROW()-1,COLUMN()))+1</f>
        <v>4</v>
      </c>
      <c r="B19" s="2"/>
      <c r="C19" s="2"/>
      <c r="D19" s="2"/>
      <c r="E19" s="2" t="s">
        <v>78</v>
      </c>
      <c r="F19" s="2" t="s">
        <v>59</v>
      </c>
      <c r="G19" s="2" t="s">
        <v>62</v>
      </c>
      <c r="H19" s="3" t="s">
        <v>79</v>
      </c>
      <c r="I19" s="41" t="s">
        <v>62</v>
      </c>
      <c r="J19" s="2"/>
      <c r="K19" s="2"/>
      <c r="L19" s="2"/>
      <c r="M19" s="2"/>
      <c r="N19" s="2"/>
      <c r="O19" s="2" t="s">
        <v>60</v>
      </c>
      <c r="P19" s="2"/>
    </row>
    <row r="20" spans="1:16" ht="60" x14ac:dyDescent="0.25">
      <c r="A20" s="17" cm="1">
        <f t="array" aca="1" ref="A20" ca="1">INDIRECT(ADDRESS(ROW()-1,COLUMN()))+1</f>
        <v>5</v>
      </c>
      <c r="B20" s="2"/>
      <c r="C20" s="2"/>
      <c r="D20" s="2"/>
      <c r="E20" s="2" t="s">
        <v>87</v>
      </c>
      <c r="F20" s="2" t="s">
        <v>59</v>
      </c>
      <c r="G20" s="2" t="s">
        <v>62</v>
      </c>
      <c r="H20" s="3" t="s">
        <v>294</v>
      </c>
      <c r="I20" s="41" t="s">
        <v>62</v>
      </c>
      <c r="J20" s="3" t="s">
        <v>89</v>
      </c>
      <c r="K20" s="2"/>
      <c r="L20" s="2"/>
      <c r="M20" s="2"/>
      <c r="N20" s="2" t="s">
        <v>90</v>
      </c>
      <c r="O20" s="2" t="s">
        <v>60</v>
      </c>
      <c r="P20" s="2"/>
    </row>
    <row r="21" spans="1:16" ht="60" x14ac:dyDescent="0.25">
      <c r="A21" s="17" cm="1">
        <f t="array" aca="1" ref="A21" ca="1">INDIRECT(ADDRESS(ROW()-1,COLUMN()))+1</f>
        <v>6</v>
      </c>
      <c r="B21" s="2"/>
      <c r="C21" s="2"/>
      <c r="D21" s="2"/>
      <c r="E21" s="2" t="s">
        <v>91</v>
      </c>
      <c r="F21" s="2" t="s">
        <v>59</v>
      </c>
      <c r="G21" s="2" t="s">
        <v>62</v>
      </c>
      <c r="H21" s="3" t="s">
        <v>295</v>
      </c>
      <c r="I21" s="41" t="s">
        <v>62</v>
      </c>
      <c r="J21" s="3" t="s">
        <v>89</v>
      </c>
      <c r="K21" s="2"/>
      <c r="L21" s="2"/>
      <c r="M21" s="2"/>
      <c r="N21" s="2"/>
      <c r="O21" s="2" t="s">
        <v>60</v>
      </c>
      <c r="P21" s="2"/>
    </row>
    <row r="22" spans="1:16" s="4" customFormat="1" x14ac:dyDescent="0.25">
      <c r="A22" s="17" cm="1">
        <f t="array" aca="1" ref="A22" ca="1">INDIRECT(ADDRESS(ROW()-1,COLUMN()))+1</f>
        <v>7</v>
      </c>
      <c r="B22" s="47"/>
      <c r="C22" s="47"/>
      <c r="D22" s="47"/>
      <c r="E22" s="48" t="s">
        <v>105</v>
      </c>
      <c r="F22" s="47" t="s">
        <v>23</v>
      </c>
      <c r="G22" s="12" t="s">
        <v>60</v>
      </c>
      <c r="H22" s="57" t="s">
        <v>296</v>
      </c>
      <c r="I22" s="41" t="s">
        <v>62</v>
      </c>
    </row>
    <row r="23" spans="1:16" ht="18.75" x14ac:dyDescent="0.3">
      <c r="A23" s="67" t="s">
        <v>97</v>
      </c>
      <c r="B23" s="78"/>
      <c r="C23" s="78"/>
      <c r="D23" s="78"/>
      <c r="E23" s="78"/>
      <c r="F23" s="78"/>
      <c r="G23" s="78"/>
      <c r="H23" s="78"/>
      <c r="I23" s="78"/>
      <c r="J23" s="78"/>
      <c r="K23" s="78"/>
      <c r="L23" s="78"/>
      <c r="M23" s="78"/>
      <c r="N23" s="79"/>
    </row>
    <row r="24" spans="1:16" ht="120" x14ac:dyDescent="0.25">
      <c r="A24" s="11" t="s">
        <v>41</v>
      </c>
      <c r="B24" s="5" t="s">
        <v>42</v>
      </c>
      <c r="C24" s="5" t="s">
        <v>43</v>
      </c>
      <c r="D24" s="5" t="s">
        <v>44</v>
      </c>
      <c r="E24" s="5" t="s">
        <v>46</v>
      </c>
      <c r="F24" s="5" t="s">
        <v>47</v>
      </c>
      <c r="G24" s="5" t="s">
        <v>48</v>
      </c>
      <c r="H24" s="5" t="s">
        <v>49</v>
      </c>
      <c r="I24" s="5" t="s">
        <v>51</v>
      </c>
      <c r="J24" s="5" t="s">
        <v>52</v>
      </c>
      <c r="K24" s="5" t="s">
        <v>53</v>
      </c>
      <c r="L24" s="6" t="s">
        <v>54</v>
      </c>
      <c r="M24" s="9" t="s">
        <v>55</v>
      </c>
      <c r="N24" s="9" t="s">
        <v>56</v>
      </c>
    </row>
    <row r="25" spans="1:16" x14ac:dyDescent="0.25">
      <c r="A25" s="17">
        <v>1</v>
      </c>
      <c r="B25" s="2" t="s">
        <v>98</v>
      </c>
      <c r="C25" s="22" t="s">
        <v>62</v>
      </c>
      <c r="D25" s="22" t="s">
        <v>60</v>
      </c>
      <c r="E25" s="2" t="s">
        <v>99</v>
      </c>
      <c r="F25" s="2" t="s">
        <v>76</v>
      </c>
      <c r="G25" s="12" t="s">
        <v>60</v>
      </c>
      <c r="H25" s="3" t="s">
        <v>100</v>
      </c>
      <c r="I25" s="12" t="s">
        <v>62</v>
      </c>
      <c r="J25" s="2"/>
      <c r="K25" s="2"/>
      <c r="L25" s="2"/>
      <c r="M25" s="2"/>
      <c r="N25" s="2"/>
    </row>
    <row r="26" spans="1:16" x14ac:dyDescent="0.25">
      <c r="A26" s="17">
        <f>A25+1</f>
        <v>2</v>
      </c>
      <c r="B26" s="2" t="s">
        <v>98</v>
      </c>
      <c r="C26" s="22" t="s">
        <v>60</v>
      </c>
      <c r="D26" s="22" t="s">
        <v>60</v>
      </c>
      <c r="E26" s="2" t="s">
        <v>101</v>
      </c>
      <c r="F26" s="2" t="s">
        <v>59</v>
      </c>
      <c r="G26" s="12" t="s">
        <v>60</v>
      </c>
      <c r="H26" s="3" t="s">
        <v>102</v>
      </c>
      <c r="I26" s="12" t="s">
        <v>60</v>
      </c>
      <c r="J26" s="2"/>
      <c r="K26" s="2"/>
      <c r="L26" s="2"/>
      <c r="M26" s="2"/>
      <c r="N26" s="2"/>
    </row>
    <row r="27" spans="1:16" ht="30" x14ac:dyDescent="0.25">
      <c r="A27" s="17">
        <f t="shared" ref="A27:A28" si="0">A26+1</f>
        <v>3</v>
      </c>
      <c r="B27" s="2" t="s">
        <v>98</v>
      </c>
      <c r="C27" s="22" t="s">
        <v>62</v>
      </c>
      <c r="D27" s="22" t="s">
        <v>60</v>
      </c>
      <c r="E27" s="2" t="s">
        <v>103</v>
      </c>
      <c r="F27" s="2" t="s">
        <v>59</v>
      </c>
      <c r="G27" s="12" t="s">
        <v>60</v>
      </c>
      <c r="H27" s="3" t="s">
        <v>297</v>
      </c>
      <c r="I27" s="20" t="s">
        <v>62</v>
      </c>
      <c r="J27" s="2"/>
      <c r="K27" s="2"/>
      <c r="L27" s="2"/>
      <c r="M27" s="2"/>
      <c r="N27" s="2" t="s">
        <v>62</v>
      </c>
    </row>
    <row r="28" spans="1:16" x14ac:dyDescent="0.25">
      <c r="A28" s="17">
        <f t="shared" si="0"/>
        <v>4</v>
      </c>
      <c r="B28" s="2" t="s">
        <v>98</v>
      </c>
      <c r="C28" s="22" t="s">
        <v>62</v>
      </c>
      <c r="D28" s="22" t="s">
        <v>60</v>
      </c>
      <c r="E28" s="2" t="s">
        <v>105</v>
      </c>
      <c r="F28" s="2" t="s">
        <v>106</v>
      </c>
      <c r="G28" s="12" t="s">
        <v>60</v>
      </c>
      <c r="H28" s="3" t="s">
        <v>107</v>
      </c>
      <c r="I28" s="20" t="s">
        <v>62</v>
      </c>
      <c r="J28" s="2"/>
      <c r="K28" s="2"/>
      <c r="L28" s="2"/>
      <c r="M28" s="2"/>
      <c r="N28" s="2" t="s">
        <v>62</v>
      </c>
    </row>
    <row r="29" spans="1:16" x14ac:dyDescent="0.25">
      <c r="A29" s="14" t="s">
        <v>108</v>
      </c>
    </row>
  </sheetData>
  <autoFilter ref="A6:P29" xr:uid="{66B5E853-2798-4156-AAAB-0750264D3328}"/>
  <mergeCells count="5">
    <mergeCell ref="A1:N1"/>
    <mergeCell ref="A3:N3"/>
    <mergeCell ref="A4:N4"/>
    <mergeCell ref="A5:N5"/>
    <mergeCell ref="A23:N23"/>
  </mergeCells>
  <hyperlinks>
    <hyperlink ref="A29" location="Index!A1" display="Back to Index" xr:uid="{CCAE1ABC-0F17-4336-B0AA-0AE835154C43}"/>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4969F-AACD-45AF-A496-A79457D4E01D}">
  <dimension ref="A1:N13"/>
  <sheetViews>
    <sheetView topLeftCell="A5" workbookViewId="0">
      <selection activeCell="A11" sqref="A11"/>
    </sheetView>
  </sheetViews>
  <sheetFormatPr defaultRowHeight="15" x14ac:dyDescent="0.25"/>
  <cols>
    <col min="2" max="2" width="36.140625" bestFit="1" customWidth="1"/>
    <col min="5" max="5" width="31.140625" customWidth="1"/>
    <col min="6" max="6" width="13.5703125" bestFit="1" customWidth="1"/>
    <col min="8" max="8" width="51.28515625" customWidth="1"/>
  </cols>
  <sheetData>
    <row r="1" spans="1:14" s="4" customFormat="1" ht="18.75" x14ac:dyDescent="0.3">
      <c r="A1" s="70" t="s">
        <v>298</v>
      </c>
      <c r="B1" s="70"/>
      <c r="C1" s="70"/>
      <c r="D1" s="70"/>
      <c r="E1" s="70"/>
      <c r="F1" s="70"/>
      <c r="G1" s="70"/>
      <c r="H1" s="70"/>
      <c r="I1" s="70"/>
      <c r="J1" s="70"/>
      <c r="K1" s="70"/>
      <c r="L1" s="70"/>
      <c r="M1" s="70"/>
      <c r="N1" s="70"/>
    </row>
    <row r="2" spans="1:14" ht="18.75" x14ac:dyDescent="0.3">
      <c r="A2" s="71" t="s">
        <v>38</v>
      </c>
      <c r="B2" s="71"/>
      <c r="C2" s="71"/>
      <c r="D2" s="71"/>
      <c r="E2" s="71"/>
      <c r="F2" s="71"/>
      <c r="G2" s="71"/>
      <c r="H2" s="71"/>
      <c r="I2" s="71"/>
      <c r="J2" s="71"/>
      <c r="K2" s="71"/>
      <c r="L2" s="71"/>
      <c r="M2" s="71"/>
      <c r="N2" s="71"/>
    </row>
    <row r="3" spans="1:14" x14ac:dyDescent="0.25">
      <c r="A3" s="73" t="s">
        <v>39</v>
      </c>
      <c r="B3" s="73"/>
      <c r="C3" s="73"/>
      <c r="D3" s="73"/>
      <c r="E3" s="73"/>
      <c r="F3" s="73"/>
      <c r="G3" s="73"/>
      <c r="H3" s="73"/>
      <c r="I3" s="73"/>
      <c r="J3" s="73"/>
      <c r="K3" s="73"/>
      <c r="L3" s="73"/>
      <c r="M3" s="73"/>
      <c r="N3" s="73"/>
    </row>
    <row r="4" spans="1:14" x14ac:dyDescent="0.25">
      <c r="A4" s="77" t="s">
        <v>299</v>
      </c>
      <c r="B4" s="77"/>
      <c r="C4" s="77"/>
      <c r="D4" s="77"/>
      <c r="E4" s="77"/>
      <c r="F4" s="77"/>
      <c r="G4" s="77"/>
      <c r="H4" s="77"/>
      <c r="I4" s="77"/>
      <c r="J4" s="77"/>
      <c r="K4" s="77"/>
      <c r="L4" s="77"/>
      <c r="M4" s="77"/>
      <c r="N4" s="77"/>
    </row>
    <row r="5" spans="1:14" ht="18.75" x14ac:dyDescent="0.3">
      <c r="A5" s="71" t="s">
        <v>40</v>
      </c>
      <c r="B5" s="71"/>
      <c r="C5" s="71"/>
      <c r="D5" s="71"/>
      <c r="E5" s="71"/>
      <c r="F5" s="71"/>
      <c r="G5" s="71"/>
      <c r="H5" s="71"/>
      <c r="I5" s="71"/>
      <c r="J5" s="71"/>
      <c r="K5" s="71"/>
      <c r="L5" s="71"/>
      <c r="M5" s="71"/>
      <c r="N5" s="71"/>
    </row>
    <row r="6" spans="1:14" ht="120" x14ac:dyDescent="0.25">
      <c r="A6" s="5" t="s">
        <v>41</v>
      </c>
      <c r="B6" s="5" t="s">
        <v>42</v>
      </c>
      <c r="C6" s="5" t="s">
        <v>43</v>
      </c>
      <c r="D6" s="5" t="s">
        <v>44</v>
      </c>
      <c r="E6" s="5" t="s">
        <v>46</v>
      </c>
      <c r="F6" s="5" t="s">
        <v>47</v>
      </c>
      <c r="G6" s="5" t="s">
        <v>48</v>
      </c>
      <c r="H6" s="5" t="s">
        <v>49</v>
      </c>
      <c r="I6" s="5" t="s">
        <v>51</v>
      </c>
      <c r="J6" s="5" t="s">
        <v>52</v>
      </c>
      <c r="K6" s="5" t="s">
        <v>53</v>
      </c>
      <c r="L6" s="6" t="s">
        <v>54</v>
      </c>
      <c r="M6" s="9" t="s">
        <v>55</v>
      </c>
      <c r="N6" s="9" t="s">
        <v>56</v>
      </c>
    </row>
    <row r="7" spans="1:14" x14ac:dyDescent="0.25">
      <c r="A7" s="2">
        <v>1</v>
      </c>
      <c r="B7" s="2"/>
      <c r="C7" s="2"/>
      <c r="D7" s="2"/>
      <c r="E7" s="2" t="s">
        <v>103</v>
      </c>
      <c r="F7" s="2" t="s">
        <v>59</v>
      </c>
      <c r="G7" s="12" t="s">
        <v>60</v>
      </c>
      <c r="H7" s="2" t="s">
        <v>300</v>
      </c>
      <c r="I7" s="12" t="s">
        <v>62</v>
      </c>
      <c r="J7" s="2"/>
      <c r="K7" s="2"/>
      <c r="L7" s="2"/>
      <c r="M7" s="2"/>
      <c r="N7" s="12" t="s">
        <v>60</v>
      </c>
    </row>
    <row r="8" spans="1:14" ht="18.75" x14ac:dyDescent="0.3">
      <c r="A8" s="67" t="s">
        <v>97</v>
      </c>
      <c r="B8" s="78"/>
      <c r="C8" s="78"/>
      <c r="D8" s="78"/>
      <c r="E8" s="78"/>
      <c r="F8" s="78"/>
      <c r="G8" s="78"/>
      <c r="H8" s="78"/>
      <c r="I8" s="78"/>
      <c r="J8" s="78"/>
      <c r="K8" s="78"/>
      <c r="L8" s="78"/>
      <c r="M8" s="78"/>
      <c r="N8" s="79"/>
    </row>
    <row r="9" spans="1:14" ht="120" x14ac:dyDescent="0.25">
      <c r="A9" s="11" t="s">
        <v>41</v>
      </c>
      <c r="B9" s="5" t="s">
        <v>42</v>
      </c>
      <c r="C9" s="5" t="s">
        <v>43</v>
      </c>
      <c r="D9" s="5" t="s">
        <v>44</v>
      </c>
      <c r="E9" s="5" t="s">
        <v>46</v>
      </c>
      <c r="F9" s="5" t="s">
        <v>47</v>
      </c>
      <c r="G9" s="5" t="s">
        <v>48</v>
      </c>
      <c r="H9" s="5" t="s">
        <v>49</v>
      </c>
      <c r="I9" s="5" t="s">
        <v>51</v>
      </c>
      <c r="J9" s="5" t="s">
        <v>52</v>
      </c>
      <c r="K9" s="5" t="s">
        <v>53</v>
      </c>
      <c r="L9" s="6" t="s">
        <v>54</v>
      </c>
      <c r="M9" s="9" t="s">
        <v>55</v>
      </c>
      <c r="N9" s="9" t="s">
        <v>56</v>
      </c>
    </row>
    <row r="10" spans="1:14" x14ac:dyDescent="0.25">
      <c r="A10" s="17">
        <v>1</v>
      </c>
      <c r="B10" s="2" t="s">
        <v>98</v>
      </c>
      <c r="C10" s="2" t="s">
        <v>62</v>
      </c>
      <c r="D10" s="2" t="s">
        <v>60</v>
      </c>
      <c r="E10" s="2" t="s">
        <v>99</v>
      </c>
      <c r="F10" s="2" t="s">
        <v>76</v>
      </c>
      <c r="G10" s="12" t="s">
        <v>60</v>
      </c>
      <c r="H10" s="2" t="s">
        <v>100</v>
      </c>
      <c r="I10" s="12" t="s">
        <v>62</v>
      </c>
      <c r="J10" s="2"/>
      <c r="K10" s="2"/>
      <c r="L10" s="2"/>
      <c r="M10" s="2"/>
      <c r="N10" s="2"/>
    </row>
    <row r="11" spans="1:14" x14ac:dyDescent="0.25">
      <c r="A11" s="17">
        <f>A10+1</f>
        <v>2</v>
      </c>
      <c r="B11" s="2" t="s">
        <v>98</v>
      </c>
      <c r="C11" s="2" t="s">
        <v>60</v>
      </c>
      <c r="D11" s="2"/>
      <c r="E11" s="2" t="s">
        <v>101</v>
      </c>
      <c r="F11" s="2" t="s">
        <v>59</v>
      </c>
      <c r="G11" s="12" t="s">
        <v>60</v>
      </c>
      <c r="H11" s="2" t="s">
        <v>102</v>
      </c>
      <c r="I11" s="12" t="s">
        <v>60</v>
      </c>
      <c r="J11" s="2"/>
      <c r="K11" s="2"/>
      <c r="L11" s="2"/>
      <c r="M11" s="2"/>
      <c r="N11" s="2"/>
    </row>
    <row r="12" spans="1:14" x14ac:dyDescent="0.25">
      <c r="A12" s="17">
        <f>A11+1</f>
        <v>3</v>
      </c>
      <c r="B12" s="2" t="s">
        <v>98</v>
      </c>
      <c r="C12" s="2" t="s">
        <v>62</v>
      </c>
      <c r="D12" s="2"/>
      <c r="E12" s="2" t="s">
        <v>105</v>
      </c>
      <c r="F12" s="2" t="s">
        <v>106</v>
      </c>
      <c r="G12" s="12" t="s">
        <v>60</v>
      </c>
      <c r="H12" s="2" t="s">
        <v>107</v>
      </c>
      <c r="I12" s="2"/>
      <c r="J12" s="2"/>
      <c r="K12" s="2"/>
      <c r="L12" s="2"/>
      <c r="M12" s="2"/>
      <c r="N12" s="2" t="s">
        <v>62</v>
      </c>
    </row>
    <row r="13" spans="1:14" x14ac:dyDescent="0.25">
      <c r="A13" s="14" t="s">
        <v>108</v>
      </c>
    </row>
  </sheetData>
  <mergeCells count="6">
    <mergeCell ref="A8:N8"/>
    <mergeCell ref="A1:N1"/>
    <mergeCell ref="A2:N2"/>
    <mergeCell ref="A3:N3"/>
    <mergeCell ref="A4:N4"/>
    <mergeCell ref="A5:N5"/>
  </mergeCells>
  <hyperlinks>
    <hyperlink ref="A13" location="Index!A1" display="Back to Index" xr:uid="{4587425D-938D-455E-A912-E846C40A0E1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A248-C735-4C63-971A-A3F0609388EA}">
  <dimension ref="A1:N17"/>
  <sheetViews>
    <sheetView workbookViewId="0">
      <selection activeCell="A2" sqref="A2:XFD2"/>
    </sheetView>
  </sheetViews>
  <sheetFormatPr defaultRowHeight="15" x14ac:dyDescent="0.25"/>
  <cols>
    <col min="1" max="1" width="5.28515625" style="4" customWidth="1"/>
    <col min="2" max="2" width="36.140625" style="8" bestFit="1" customWidth="1"/>
    <col min="3" max="4" width="9.140625" style="8"/>
    <col min="5" max="5" width="28.42578125" bestFit="1" customWidth="1"/>
    <col min="6" max="6" width="14.28515625" customWidth="1"/>
    <col min="7" max="7" width="13.28515625" customWidth="1"/>
    <col min="8" max="8" width="55.28515625" style="1" customWidth="1"/>
  </cols>
  <sheetData>
    <row r="1" spans="1:14" s="4" customFormat="1" ht="39.75" customHeight="1" x14ac:dyDescent="0.3">
      <c r="A1" s="80" t="s">
        <v>301</v>
      </c>
      <c r="B1" s="80"/>
      <c r="C1" s="80"/>
      <c r="D1" s="80"/>
      <c r="E1" s="80"/>
      <c r="F1" s="80"/>
      <c r="G1" s="80"/>
      <c r="H1" s="80"/>
      <c r="I1" s="80"/>
      <c r="J1" s="80"/>
      <c r="K1" s="80"/>
      <c r="L1" s="80"/>
      <c r="M1" s="80"/>
      <c r="N1" s="80"/>
    </row>
    <row r="2" spans="1:14" s="4" customFormat="1" ht="18.75" x14ac:dyDescent="0.3">
      <c r="A2" s="65" t="s">
        <v>786</v>
      </c>
      <c r="B2" s="65" t="s">
        <v>787</v>
      </c>
      <c r="C2" s="65"/>
      <c r="D2" s="65"/>
      <c r="E2" s="65"/>
      <c r="F2" s="65"/>
      <c r="G2" s="65"/>
      <c r="H2" s="65"/>
      <c r="I2" s="65"/>
      <c r="J2" s="65"/>
      <c r="K2" s="65"/>
      <c r="L2" s="65"/>
      <c r="M2" s="65"/>
      <c r="N2" s="65"/>
    </row>
    <row r="3" spans="1:14" ht="18.75" x14ac:dyDescent="0.3">
      <c r="A3" s="71" t="s">
        <v>38</v>
      </c>
      <c r="B3" s="71"/>
      <c r="C3" s="71"/>
      <c r="D3" s="71"/>
      <c r="E3" s="71"/>
      <c r="F3" s="71"/>
      <c r="G3" s="71"/>
      <c r="H3" s="71"/>
      <c r="I3" s="71"/>
      <c r="J3" s="71"/>
      <c r="K3" s="71"/>
      <c r="L3" s="71"/>
      <c r="M3" s="71"/>
      <c r="N3" s="71"/>
    </row>
    <row r="4" spans="1:14" x14ac:dyDescent="0.25">
      <c r="A4" s="73" t="s">
        <v>39</v>
      </c>
      <c r="B4" s="73"/>
      <c r="C4" s="73"/>
      <c r="D4" s="73"/>
      <c r="E4" s="73"/>
      <c r="F4" s="73"/>
      <c r="G4" s="73"/>
      <c r="H4" s="73"/>
      <c r="I4" s="73"/>
      <c r="J4" s="73"/>
      <c r="K4" s="73"/>
      <c r="L4" s="73"/>
      <c r="M4" s="73"/>
      <c r="N4" s="73"/>
    </row>
    <row r="5" spans="1:14" x14ac:dyDescent="0.25">
      <c r="A5" s="73" t="s">
        <v>302</v>
      </c>
      <c r="B5" s="73"/>
      <c r="C5" s="73"/>
      <c r="D5" s="73"/>
      <c r="E5" s="73"/>
      <c r="F5" s="73"/>
      <c r="G5" s="73"/>
      <c r="H5" s="73"/>
      <c r="I5" s="73"/>
      <c r="J5" s="73"/>
      <c r="K5" s="73"/>
      <c r="L5" s="73"/>
      <c r="M5" s="73"/>
      <c r="N5" s="73"/>
    </row>
    <row r="6" spans="1:14" x14ac:dyDescent="0.25">
      <c r="A6" s="73" t="s">
        <v>303</v>
      </c>
      <c r="B6" s="73"/>
      <c r="C6" s="73"/>
      <c r="D6" s="73"/>
      <c r="E6" s="73"/>
      <c r="F6" s="73"/>
      <c r="G6" s="73"/>
      <c r="H6" s="73"/>
      <c r="I6" s="73"/>
      <c r="J6" s="73"/>
      <c r="K6" s="73"/>
      <c r="L6" s="73"/>
      <c r="M6" s="73"/>
      <c r="N6" s="73"/>
    </row>
    <row r="7" spans="1:14" x14ac:dyDescent="0.25">
      <c r="A7" s="73" t="s">
        <v>304</v>
      </c>
      <c r="B7" s="73"/>
      <c r="C7" s="73"/>
      <c r="D7" s="73"/>
      <c r="E7" s="73"/>
      <c r="F7" s="73"/>
      <c r="G7" s="73"/>
      <c r="H7" s="73"/>
      <c r="I7" s="73"/>
      <c r="J7" s="73"/>
      <c r="K7" s="73"/>
      <c r="L7" s="73"/>
      <c r="M7" s="73"/>
      <c r="N7" s="73"/>
    </row>
    <row r="8" spans="1:14" x14ac:dyDescent="0.25">
      <c r="A8" s="73" t="s">
        <v>39</v>
      </c>
      <c r="B8" s="73"/>
      <c r="C8" s="73"/>
      <c r="D8" s="73"/>
      <c r="E8" s="73"/>
      <c r="F8" s="73"/>
      <c r="G8" s="73"/>
      <c r="H8" s="73"/>
      <c r="I8" s="73"/>
      <c r="J8" s="73"/>
      <c r="K8" s="73"/>
      <c r="L8" s="73"/>
      <c r="M8" s="73"/>
      <c r="N8" s="73"/>
    </row>
    <row r="9" spans="1:14" ht="18.75" x14ac:dyDescent="0.3">
      <c r="A9" s="71" t="s">
        <v>40</v>
      </c>
      <c r="B9" s="71"/>
      <c r="C9" s="71"/>
      <c r="D9" s="71"/>
      <c r="E9" s="71"/>
      <c r="F9" s="71"/>
      <c r="G9" s="71"/>
      <c r="H9" s="71"/>
      <c r="I9" s="71"/>
      <c r="J9" s="71"/>
      <c r="K9" s="71"/>
      <c r="L9" s="71"/>
      <c r="M9" s="71"/>
      <c r="N9" s="71"/>
    </row>
    <row r="10" spans="1:14" ht="120" x14ac:dyDescent="0.25">
      <c r="A10" s="5" t="s">
        <v>41</v>
      </c>
      <c r="B10" s="5" t="s">
        <v>42</v>
      </c>
      <c r="C10" s="5" t="s">
        <v>43</v>
      </c>
      <c r="D10" s="5" t="s">
        <v>44</v>
      </c>
      <c r="E10" s="5" t="s">
        <v>46</v>
      </c>
      <c r="F10" s="5" t="s">
        <v>47</v>
      </c>
      <c r="G10" s="5" t="s">
        <v>48</v>
      </c>
      <c r="H10" s="5" t="s">
        <v>49</v>
      </c>
      <c r="I10" s="5" t="s">
        <v>51</v>
      </c>
      <c r="J10" s="5" t="s">
        <v>52</v>
      </c>
      <c r="K10" s="5" t="s">
        <v>53</v>
      </c>
      <c r="L10" s="6" t="s">
        <v>54</v>
      </c>
      <c r="M10" s="9" t="s">
        <v>55</v>
      </c>
      <c r="N10" s="9" t="s">
        <v>56</v>
      </c>
    </row>
    <row r="11" spans="1:14" x14ac:dyDescent="0.25">
      <c r="A11" s="2">
        <v>1</v>
      </c>
      <c r="B11" s="2"/>
      <c r="C11" s="2"/>
      <c r="D11" s="2"/>
      <c r="E11" s="2" t="s">
        <v>103</v>
      </c>
      <c r="F11" s="2" t="s">
        <v>59</v>
      </c>
      <c r="G11" s="12" t="s">
        <v>60</v>
      </c>
      <c r="H11" s="2" t="s">
        <v>300</v>
      </c>
      <c r="I11" s="12" t="s">
        <v>62</v>
      </c>
      <c r="J11" s="2"/>
      <c r="K11" s="2"/>
      <c r="L11" s="2"/>
      <c r="M11" s="2"/>
      <c r="N11" s="12" t="s">
        <v>60</v>
      </c>
    </row>
    <row r="12" spans="1:14" ht="18.75" x14ac:dyDescent="0.3">
      <c r="A12" s="71" t="s">
        <v>305</v>
      </c>
      <c r="B12" s="71"/>
      <c r="C12" s="71"/>
      <c r="D12" s="71"/>
      <c r="E12" s="71"/>
      <c r="F12" s="71"/>
      <c r="G12" s="71"/>
      <c r="H12" s="71"/>
      <c r="I12" s="71"/>
      <c r="J12" s="71"/>
      <c r="K12" s="71"/>
      <c r="L12" s="71"/>
      <c r="M12" s="71"/>
      <c r="N12" s="71"/>
    </row>
    <row r="13" spans="1:14" ht="120" x14ac:dyDescent="0.25">
      <c r="A13" s="11" t="s">
        <v>41</v>
      </c>
      <c r="B13" s="5" t="s">
        <v>42</v>
      </c>
      <c r="C13" s="5" t="s">
        <v>43</v>
      </c>
      <c r="D13" s="5" t="s">
        <v>44</v>
      </c>
      <c r="E13" s="5" t="s">
        <v>46</v>
      </c>
      <c r="F13" s="5" t="s">
        <v>47</v>
      </c>
      <c r="G13" s="5" t="s">
        <v>48</v>
      </c>
      <c r="H13" s="5" t="s">
        <v>49</v>
      </c>
      <c r="I13" s="5" t="s">
        <v>51</v>
      </c>
      <c r="J13" s="5" t="s">
        <v>52</v>
      </c>
      <c r="K13" s="5" t="s">
        <v>53</v>
      </c>
      <c r="L13" s="6" t="s">
        <v>54</v>
      </c>
      <c r="M13" s="9" t="s">
        <v>55</v>
      </c>
      <c r="N13" s="9" t="s">
        <v>56</v>
      </c>
    </row>
    <row r="14" spans="1:14" x14ac:dyDescent="0.25">
      <c r="A14" s="17">
        <v>1</v>
      </c>
      <c r="B14" s="2" t="s">
        <v>98</v>
      </c>
      <c r="C14" s="22" t="s">
        <v>62</v>
      </c>
      <c r="D14" s="22" t="s">
        <v>60</v>
      </c>
      <c r="E14" s="2" t="s">
        <v>99</v>
      </c>
      <c r="F14" s="2" t="s">
        <v>76</v>
      </c>
      <c r="G14" s="12" t="s">
        <v>60</v>
      </c>
      <c r="H14" s="2" t="s">
        <v>100</v>
      </c>
      <c r="I14" s="12" t="s">
        <v>62</v>
      </c>
      <c r="J14" s="2"/>
      <c r="K14" s="2"/>
      <c r="L14" s="2"/>
      <c r="M14" s="2"/>
      <c r="N14" s="2"/>
    </row>
    <row r="15" spans="1:14" x14ac:dyDescent="0.25">
      <c r="A15" s="17">
        <f>A14+1</f>
        <v>2</v>
      </c>
      <c r="B15" s="2" t="s">
        <v>98</v>
      </c>
      <c r="C15" s="22" t="s">
        <v>60</v>
      </c>
      <c r="D15" s="22"/>
      <c r="E15" s="2" t="s">
        <v>101</v>
      </c>
      <c r="F15" s="2" t="s">
        <v>59</v>
      </c>
      <c r="G15" s="12" t="s">
        <v>60</v>
      </c>
      <c r="H15" s="2" t="s">
        <v>102</v>
      </c>
      <c r="I15" s="12" t="s">
        <v>60</v>
      </c>
      <c r="J15" s="2"/>
      <c r="K15" s="2"/>
      <c r="L15" s="2"/>
      <c r="M15" s="2"/>
      <c r="N15" s="2"/>
    </row>
    <row r="16" spans="1:14" ht="30" x14ac:dyDescent="0.25">
      <c r="A16" s="17">
        <f>A15+1</f>
        <v>3</v>
      </c>
      <c r="B16" s="2" t="s">
        <v>98</v>
      </c>
      <c r="C16" s="22" t="s">
        <v>62</v>
      </c>
      <c r="D16" s="22"/>
      <c r="E16" s="2" t="s">
        <v>105</v>
      </c>
      <c r="F16" s="2" t="s">
        <v>106</v>
      </c>
      <c r="G16" s="12" t="s">
        <v>60</v>
      </c>
      <c r="H16" s="3" t="s">
        <v>306</v>
      </c>
      <c r="I16" s="2"/>
      <c r="J16" s="2"/>
      <c r="K16" s="2"/>
      <c r="L16" s="2"/>
      <c r="M16" s="2"/>
      <c r="N16" s="22" t="s">
        <v>62</v>
      </c>
    </row>
    <row r="17" spans="1:1" x14ac:dyDescent="0.25">
      <c r="A17" s="14" t="s">
        <v>108</v>
      </c>
    </row>
  </sheetData>
  <mergeCells count="9">
    <mergeCell ref="A7:N7"/>
    <mergeCell ref="A8:N8"/>
    <mergeCell ref="A9:N9"/>
    <mergeCell ref="A12:N12"/>
    <mergeCell ref="A1:N1"/>
    <mergeCell ref="A3:N3"/>
    <mergeCell ref="A4:N4"/>
    <mergeCell ref="A5:N5"/>
    <mergeCell ref="A6:N6"/>
  </mergeCells>
  <hyperlinks>
    <hyperlink ref="A17" location="Index!A1" display="Back to Index" xr:uid="{2F7D9EE4-2416-40C7-AB98-A784D7AA5B56}"/>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51DCD-305D-4BC9-A3EE-700C77EE9B14}">
  <dimension ref="A1:N43"/>
  <sheetViews>
    <sheetView topLeftCell="A9" zoomScale="90" zoomScaleNormal="90" workbookViewId="0">
      <selection activeCell="E11" sqref="E11"/>
    </sheetView>
  </sheetViews>
  <sheetFormatPr defaultRowHeight="15" x14ac:dyDescent="0.25"/>
  <cols>
    <col min="1" max="1" width="4" customWidth="1"/>
    <col min="2" max="2" width="26.5703125" bestFit="1" customWidth="1"/>
    <col min="3" max="4" width="13.42578125" customWidth="1"/>
    <col min="5" max="5" width="39.42578125" bestFit="1" customWidth="1"/>
    <col min="6" max="6" width="20" customWidth="1"/>
    <col min="8" max="8" width="39.28515625" style="1" bestFit="1" customWidth="1"/>
  </cols>
  <sheetData>
    <row r="1" spans="1:14" ht="18.75" x14ac:dyDescent="0.3">
      <c r="A1" s="71" t="s">
        <v>307</v>
      </c>
      <c r="B1" s="71"/>
      <c r="C1" s="71"/>
      <c r="D1" s="71"/>
      <c r="E1" s="71"/>
      <c r="F1" s="71"/>
      <c r="G1" s="71"/>
      <c r="H1" s="71"/>
      <c r="I1" s="71"/>
      <c r="J1" s="71"/>
      <c r="K1" s="71"/>
      <c r="L1" s="71"/>
      <c r="M1" s="71"/>
      <c r="N1" s="71"/>
    </row>
    <row r="2" spans="1:14" ht="18.75" x14ac:dyDescent="0.3">
      <c r="A2" s="71" t="s">
        <v>40</v>
      </c>
      <c r="B2" s="71"/>
      <c r="C2" s="71"/>
      <c r="D2" s="71"/>
      <c r="E2" s="71"/>
      <c r="F2" s="71"/>
      <c r="G2" s="71"/>
      <c r="H2" s="71"/>
      <c r="I2" s="71"/>
      <c r="J2" s="71"/>
      <c r="K2" s="71"/>
      <c r="L2" s="71"/>
      <c r="M2" s="71"/>
      <c r="N2" s="71"/>
    </row>
    <row r="3" spans="1:14" ht="90" x14ac:dyDescent="0.25">
      <c r="A3" s="5" t="s">
        <v>41</v>
      </c>
      <c r="B3" s="5" t="s">
        <v>42</v>
      </c>
      <c r="C3" s="5" t="s">
        <v>43</v>
      </c>
      <c r="D3" s="5" t="s">
        <v>44</v>
      </c>
      <c r="E3" s="5" t="s">
        <v>46</v>
      </c>
      <c r="F3" s="5" t="s">
        <v>47</v>
      </c>
      <c r="G3" s="5" t="s">
        <v>48</v>
      </c>
      <c r="H3" s="5" t="s">
        <v>49</v>
      </c>
      <c r="I3" s="5" t="s">
        <v>51</v>
      </c>
      <c r="J3" s="5" t="s">
        <v>52</v>
      </c>
      <c r="K3" s="5" t="s">
        <v>53</v>
      </c>
      <c r="L3" s="6" t="s">
        <v>54</v>
      </c>
      <c r="M3" s="9" t="s">
        <v>55</v>
      </c>
      <c r="N3" s="9" t="s">
        <v>308</v>
      </c>
    </row>
    <row r="4" spans="1:14" x14ac:dyDescent="0.25">
      <c r="A4">
        <v>1</v>
      </c>
      <c r="B4" s="37"/>
      <c r="C4" s="2"/>
      <c r="D4" s="2"/>
      <c r="E4" s="2" t="s">
        <v>309</v>
      </c>
      <c r="F4" s="2" t="s">
        <v>59</v>
      </c>
      <c r="G4" s="12" t="s">
        <v>62</v>
      </c>
      <c r="H4" s="3" t="s">
        <v>310</v>
      </c>
      <c r="I4" s="2"/>
      <c r="J4" s="20"/>
      <c r="K4" s="20"/>
      <c r="L4" s="2"/>
      <c r="M4" s="2"/>
      <c r="N4" s="20"/>
    </row>
    <row r="5" spans="1:14" x14ac:dyDescent="0.25">
      <c r="A5" s="16" cm="1">
        <f t="array" aca="1" ref="A5" ca="1">INDIRECT(ADDRESS(ROW()-1,COLUMN()))+1</f>
        <v>2</v>
      </c>
      <c r="B5" s="37"/>
      <c r="C5" s="2"/>
      <c r="D5" s="2"/>
      <c r="E5" s="2" t="s">
        <v>311</v>
      </c>
      <c r="F5" s="2" t="s">
        <v>59</v>
      </c>
      <c r="G5" s="12" t="s">
        <v>62</v>
      </c>
      <c r="H5" s="3" t="s">
        <v>310</v>
      </c>
      <c r="I5" s="2"/>
      <c r="J5" s="20"/>
      <c r="K5" s="20"/>
      <c r="L5" s="2"/>
      <c r="M5" s="2"/>
      <c r="N5" s="20"/>
    </row>
    <row r="6" spans="1:14" ht="30" x14ac:dyDescent="0.25">
      <c r="A6" s="16" cm="1">
        <f t="array" aca="1" ref="A6" ca="1">INDIRECT(ADDRESS(ROW()-1,COLUMN()))+1</f>
        <v>3</v>
      </c>
      <c r="B6" s="2" t="s">
        <v>312</v>
      </c>
      <c r="C6" s="2"/>
      <c r="D6" s="2"/>
      <c r="E6" s="2" t="s">
        <v>65</v>
      </c>
      <c r="F6" s="2" t="s">
        <v>59</v>
      </c>
      <c r="G6" s="12" t="s">
        <v>62</v>
      </c>
      <c r="H6" s="3" t="s">
        <v>313</v>
      </c>
      <c r="I6" s="20" t="s">
        <v>60</v>
      </c>
      <c r="J6" s="20"/>
      <c r="K6" s="2"/>
      <c r="L6" s="2"/>
      <c r="M6" s="2"/>
      <c r="N6" s="20" t="s">
        <v>60</v>
      </c>
    </row>
    <row r="7" spans="1:14" ht="14.45" customHeight="1" x14ac:dyDescent="0.25">
      <c r="A7" s="16" cm="1">
        <f t="array" aca="1" ref="A7" ca="1">INDIRECT(ADDRESS(ROW()-1,COLUMN()))+1</f>
        <v>4</v>
      </c>
      <c r="B7" s="2" t="s">
        <v>312</v>
      </c>
      <c r="C7" s="2"/>
      <c r="D7" s="2"/>
      <c r="E7" t="s">
        <v>67</v>
      </c>
      <c r="F7" s="2" t="s">
        <v>59</v>
      </c>
      <c r="G7" s="12" t="s">
        <v>60</v>
      </c>
      <c r="H7" s="62" t="s">
        <v>314</v>
      </c>
      <c r="I7" s="2"/>
      <c r="J7" s="2"/>
      <c r="K7" s="2"/>
      <c r="L7" s="2"/>
      <c r="M7" s="2"/>
      <c r="N7" s="20" t="s">
        <v>62</v>
      </c>
    </row>
    <row r="8" spans="1:14" x14ac:dyDescent="0.25">
      <c r="A8" s="16" cm="1">
        <f t="array" aca="1" ref="A8" ca="1">INDIRECT(ADDRESS(ROW()-1,COLUMN()))+1</f>
        <v>5</v>
      </c>
      <c r="B8" s="2" t="s">
        <v>312</v>
      </c>
      <c r="C8" s="2"/>
      <c r="D8" s="2"/>
      <c r="E8" s="2" t="s">
        <v>315</v>
      </c>
      <c r="F8" s="2" t="s">
        <v>23</v>
      </c>
      <c r="G8" s="12" t="s">
        <v>62</v>
      </c>
      <c r="H8" s="81" t="s">
        <v>316</v>
      </c>
      <c r="I8" s="20" t="s">
        <v>60</v>
      </c>
      <c r="J8" s="20"/>
      <c r="K8" s="2"/>
      <c r="L8" s="2"/>
      <c r="M8" s="2"/>
      <c r="N8" s="20" t="s">
        <v>62</v>
      </c>
    </row>
    <row r="9" spans="1:14" x14ac:dyDescent="0.25">
      <c r="A9" s="16" cm="1">
        <f t="array" aca="1" ref="A9" ca="1">INDIRECT(ADDRESS(ROW()-1,COLUMN()))+1</f>
        <v>6</v>
      </c>
      <c r="B9" s="2" t="s">
        <v>312</v>
      </c>
      <c r="C9" s="2"/>
      <c r="D9" s="2"/>
      <c r="E9" s="2" t="s">
        <v>317</v>
      </c>
      <c r="F9" s="2" t="s">
        <v>23</v>
      </c>
      <c r="G9" s="12" t="s">
        <v>62</v>
      </c>
      <c r="H9" s="81"/>
      <c r="I9" s="20" t="s">
        <v>60</v>
      </c>
      <c r="J9" s="20"/>
      <c r="K9" s="2"/>
      <c r="L9" s="2"/>
      <c r="M9" s="2"/>
      <c r="N9" s="20" t="s">
        <v>62</v>
      </c>
    </row>
    <row r="10" spans="1:14" x14ac:dyDescent="0.25">
      <c r="A10" s="16" cm="1">
        <f t="array" aca="1" ref="A10" ca="1">INDIRECT(ADDRESS(ROW()-1,COLUMN()))+1</f>
        <v>7</v>
      </c>
      <c r="B10" s="37" t="s">
        <v>318</v>
      </c>
      <c r="C10" s="2"/>
      <c r="D10" s="2"/>
      <c r="E10" s="64" t="s">
        <v>103</v>
      </c>
      <c r="F10" s="2" t="s">
        <v>59</v>
      </c>
      <c r="G10" s="12" t="s">
        <v>62</v>
      </c>
      <c r="H10" s="63" t="s">
        <v>319</v>
      </c>
      <c r="I10" s="20" t="s">
        <v>60</v>
      </c>
      <c r="J10" s="20"/>
      <c r="K10" s="2"/>
      <c r="L10" s="2"/>
      <c r="M10" s="2"/>
      <c r="N10" s="20" t="s">
        <v>62</v>
      </c>
    </row>
    <row r="11" spans="1:14" ht="30" x14ac:dyDescent="0.25">
      <c r="A11" s="16" cm="1">
        <f t="array" aca="1" ref="A11" ca="1">INDIRECT(ADDRESS(ROW()-1,COLUMN()))+1</f>
        <v>8</v>
      </c>
      <c r="B11" s="37" t="s">
        <v>318</v>
      </c>
      <c r="C11" s="2"/>
      <c r="D11" s="2"/>
      <c r="E11" s="2" t="s">
        <v>320</v>
      </c>
      <c r="F11" s="2" t="s">
        <v>321</v>
      </c>
      <c r="G11" s="12" t="s">
        <v>62</v>
      </c>
      <c r="H11" s="3" t="s">
        <v>322</v>
      </c>
      <c r="I11" s="20" t="s">
        <v>60</v>
      </c>
      <c r="J11" s="20" t="s">
        <v>60</v>
      </c>
      <c r="K11" s="2"/>
      <c r="L11" s="2" t="s">
        <v>323</v>
      </c>
      <c r="M11" s="2"/>
      <c r="N11" s="20" t="s">
        <v>62</v>
      </c>
    </row>
    <row r="12" spans="1:14" x14ac:dyDescent="0.25">
      <c r="A12" s="16" cm="1">
        <f t="array" aca="1" ref="A12" ca="1">INDIRECT(ADDRESS(ROW()-1,COLUMN()))+1</f>
        <v>9</v>
      </c>
      <c r="B12" s="37" t="s">
        <v>318</v>
      </c>
      <c r="C12" s="2"/>
      <c r="D12" s="2"/>
      <c r="E12" s="2" t="s">
        <v>324</v>
      </c>
      <c r="F12" s="2" t="s">
        <v>325</v>
      </c>
      <c r="G12" s="12" t="s">
        <v>62</v>
      </c>
      <c r="H12" s="81" t="s">
        <v>326</v>
      </c>
      <c r="I12" s="20" t="s">
        <v>60</v>
      </c>
      <c r="J12" s="20"/>
      <c r="K12" s="2"/>
      <c r="L12" s="2"/>
      <c r="M12" s="2"/>
      <c r="N12" s="20" t="s">
        <v>62</v>
      </c>
    </row>
    <row r="13" spans="1:14" x14ac:dyDescent="0.25">
      <c r="A13" s="16" cm="1">
        <f t="array" aca="1" ref="A13" ca="1">INDIRECT(ADDRESS(ROW()-1,COLUMN()))+1</f>
        <v>10</v>
      </c>
      <c r="B13" s="37" t="s">
        <v>318</v>
      </c>
      <c r="C13" s="2"/>
      <c r="D13" s="2"/>
      <c r="E13" s="2" t="s">
        <v>327</v>
      </c>
      <c r="F13" s="2" t="s">
        <v>325</v>
      </c>
      <c r="G13" s="12" t="s">
        <v>62</v>
      </c>
      <c r="H13" s="81"/>
      <c r="I13" s="20" t="s">
        <v>60</v>
      </c>
      <c r="J13" s="20"/>
      <c r="K13" s="2"/>
      <c r="L13" s="2"/>
      <c r="M13" s="2"/>
      <c r="N13" s="20" t="s">
        <v>62</v>
      </c>
    </row>
    <row r="14" spans="1:14" x14ac:dyDescent="0.25">
      <c r="A14" s="16" cm="1">
        <f t="array" aca="1" ref="A14" ca="1">INDIRECT(ADDRESS(ROW()-1,COLUMN()))+1</f>
        <v>11</v>
      </c>
      <c r="B14" s="37" t="s">
        <v>318</v>
      </c>
      <c r="C14" s="2"/>
      <c r="D14" s="2"/>
      <c r="E14" s="2" t="s">
        <v>328</v>
      </c>
      <c r="F14" s="2" t="s">
        <v>23</v>
      </c>
      <c r="G14" s="12" t="s">
        <v>62</v>
      </c>
      <c r="H14" s="81" t="s">
        <v>329</v>
      </c>
      <c r="I14" s="20" t="s">
        <v>60</v>
      </c>
      <c r="J14" s="20"/>
      <c r="K14" s="2"/>
      <c r="L14" s="2"/>
      <c r="M14" s="2"/>
      <c r="N14" s="20" t="s">
        <v>62</v>
      </c>
    </row>
    <row r="15" spans="1:14" x14ac:dyDescent="0.25">
      <c r="A15" s="16" cm="1">
        <f t="array" aca="1" ref="A15" ca="1">INDIRECT(ADDRESS(ROW()-1,COLUMN()))+1</f>
        <v>12</v>
      </c>
      <c r="B15" s="37" t="s">
        <v>318</v>
      </c>
      <c r="C15" s="2"/>
      <c r="D15" s="2"/>
      <c r="E15" s="2" t="s">
        <v>330</v>
      </c>
      <c r="F15" s="2" t="s">
        <v>23</v>
      </c>
      <c r="G15" s="12" t="s">
        <v>62</v>
      </c>
      <c r="H15" s="81"/>
      <c r="I15" s="20" t="s">
        <v>60</v>
      </c>
      <c r="J15" s="20"/>
      <c r="K15" s="2"/>
      <c r="L15" s="2"/>
      <c r="M15" s="2"/>
      <c r="N15" s="20" t="s">
        <v>62</v>
      </c>
    </row>
    <row r="16" spans="1:14" x14ac:dyDescent="0.25">
      <c r="A16" s="16" cm="1">
        <f t="array" aca="1" ref="A16" ca="1">INDIRECT(ADDRESS(ROW()-1,COLUMN()))+1</f>
        <v>13</v>
      </c>
      <c r="B16" s="37" t="s">
        <v>318</v>
      </c>
      <c r="C16" s="2"/>
      <c r="D16" s="2"/>
      <c r="E16" s="2" t="s">
        <v>331</v>
      </c>
      <c r="F16" s="2" t="s">
        <v>23</v>
      </c>
      <c r="G16" s="12" t="s">
        <v>62</v>
      </c>
      <c r="H16" s="81" t="s">
        <v>332</v>
      </c>
      <c r="I16" s="20" t="s">
        <v>60</v>
      </c>
      <c r="J16" s="20"/>
      <c r="K16" s="2"/>
      <c r="L16" s="2"/>
      <c r="M16" s="2"/>
      <c r="N16" s="20" t="s">
        <v>62</v>
      </c>
    </row>
    <row r="17" spans="1:14" x14ac:dyDescent="0.25">
      <c r="A17" s="16" cm="1">
        <f t="array" aca="1" ref="A17" ca="1">INDIRECT(ADDRESS(ROW()-1,COLUMN()))+1</f>
        <v>14</v>
      </c>
      <c r="B17" s="37" t="s">
        <v>318</v>
      </c>
      <c r="C17" s="2"/>
      <c r="D17" s="2"/>
      <c r="E17" s="2" t="s">
        <v>333</v>
      </c>
      <c r="F17" s="2" t="s">
        <v>23</v>
      </c>
      <c r="G17" s="12" t="s">
        <v>62</v>
      </c>
      <c r="H17" s="81"/>
      <c r="I17" s="20" t="s">
        <v>60</v>
      </c>
      <c r="J17" s="20"/>
      <c r="K17" s="2"/>
      <c r="L17" s="2"/>
      <c r="M17" s="2"/>
      <c r="N17" s="20" t="s">
        <v>62</v>
      </c>
    </row>
    <row r="18" spans="1:14" x14ac:dyDescent="0.25">
      <c r="A18" s="16" cm="1">
        <f t="array" aca="1" ref="A18" ca="1">INDIRECT(ADDRESS(ROW()-1,COLUMN()))+1</f>
        <v>15</v>
      </c>
      <c r="B18" s="37" t="s">
        <v>318</v>
      </c>
      <c r="C18" s="2"/>
      <c r="D18" s="2"/>
      <c r="E18" s="2" t="s">
        <v>334</v>
      </c>
      <c r="F18" s="2" t="s">
        <v>23</v>
      </c>
      <c r="G18" s="12" t="s">
        <v>62</v>
      </c>
      <c r="H18" s="2" t="s">
        <v>321</v>
      </c>
      <c r="I18" s="20" t="s">
        <v>60</v>
      </c>
      <c r="J18" s="2"/>
      <c r="K18" s="2"/>
      <c r="L18" s="2"/>
      <c r="M18" s="2"/>
      <c r="N18" s="20" t="s">
        <v>62</v>
      </c>
    </row>
    <row r="19" spans="1:14" ht="45" x14ac:dyDescent="0.25">
      <c r="A19" s="16" cm="1">
        <f t="array" aca="1" ref="A19" ca="1">INDIRECT(ADDRESS(ROW()-1,COLUMN()))+1</f>
        <v>16</v>
      </c>
      <c r="B19" s="37" t="s">
        <v>318</v>
      </c>
      <c r="C19" s="2"/>
      <c r="D19" s="2"/>
      <c r="E19" s="2" t="s">
        <v>335</v>
      </c>
      <c r="F19" s="2" t="s">
        <v>59</v>
      </c>
      <c r="G19" s="12" t="s">
        <v>62</v>
      </c>
      <c r="H19" s="3" t="s">
        <v>336</v>
      </c>
      <c r="I19" s="20" t="s">
        <v>60</v>
      </c>
      <c r="J19" s="20" t="s">
        <v>60</v>
      </c>
      <c r="K19" s="2"/>
      <c r="L19" s="2" t="s">
        <v>337</v>
      </c>
      <c r="M19" s="2"/>
      <c r="N19" s="20" t="s">
        <v>62</v>
      </c>
    </row>
    <row r="20" spans="1:14" x14ac:dyDescent="0.25">
      <c r="A20" s="16" cm="1">
        <f t="array" aca="1" ref="A20" ca="1">INDIRECT(ADDRESS(ROW()-1,COLUMN()))+1</f>
        <v>17</v>
      </c>
      <c r="B20" s="37" t="s">
        <v>318</v>
      </c>
      <c r="C20" s="2"/>
      <c r="D20" s="2"/>
      <c r="E20" s="2" t="s">
        <v>338</v>
      </c>
      <c r="F20" s="2" t="s">
        <v>59</v>
      </c>
      <c r="G20" s="12" t="s">
        <v>62</v>
      </c>
      <c r="H20" s="3" t="s">
        <v>310</v>
      </c>
      <c r="I20" s="20" t="s">
        <v>60</v>
      </c>
      <c r="J20" s="20"/>
      <c r="K20" s="2"/>
      <c r="L20" s="2"/>
      <c r="M20" s="2"/>
      <c r="N20" s="20"/>
    </row>
    <row r="21" spans="1:14" x14ac:dyDescent="0.25">
      <c r="A21" s="17">
        <f t="shared" ref="A21" ca="1" si="0">A20+1</f>
        <v>18</v>
      </c>
      <c r="B21" s="37" t="s">
        <v>318</v>
      </c>
      <c r="C21" s="22"/>
      <c r="D21" s="22"/>
      <c r="E21" s="37" t="s">
        <v>78</v>
      </c>
      <c r="F21" s="2" t="s">
        <v>59</v>
      </c>
      <c r="G21" s="22" t="s">
        <v>60</v>
      </c>
      <c r="H21" s="3" t="s">
        <v>79</v>
      </c>
      <c r="I21" s="2"/>
      <c r="J21" s="2"/>
    </row>
    <row r="22" spans="1:14" x14ac:dyDescent="0.25">
      <c r="A22" s="73" t="s">
        <v>339</v>
      </c>
      <c r="B22" s="73"/>
      <c r="C22" s="73"/>
      <c r="D22" s="73"/>
      <c r="E22" s="73"/>
      <c r="F22" s="73"/>
      <c r="G22" s="73"/>
      <c r="H22" s="73"/>
      <c r="I22" s="73"/>
      <c r="J22" s="73"/>
      <c r="K22" s="73"/>
      <c r="L22" s="73"/>
      <c r="M22" s="73"/>
      <c r="N22" s="73"/>
    </row>
    <row r="23" spans="1:14" ht="18.75" x14ac:dyDescent="0.3">
      <c r="A23" s="67" t="s">
        <v>97</v>
      </c>
      <c r="B23" s="78"/>
      <c r="C23" s="78"/>
      <c r="D23" s="78"/>
      <c r="E23" s="78"/>
      <c r="F23" s="78"/>
      <c r="G23" s="78"/>
      <c r="H23" s="78"/>
      <c r="I23" s="78"/>
      <c r="J23" s="78"/>
      <c r="K23" s="78"/>
      <c r="L23" s="78"/>
      <c r="M23" s="78"/>
      <c r="N23" s="79"/>
    </row>
    <row r="24" spans="1:14" ht="90" x14ac:dyDescent="0.25">
      <c r="A24" s="5" t="s">
        <v>41</v>
      </c>
      <c r="B24" s="5" t="s">
        <v>42</v>
      </c>
      <c r="C24" s="5" t="s">
        <v>43</v>
      </c>
      <c r="D24" s="5" t="s">
        <v>44</v>
      </c>
      <c r="E24" s="5" t="s">
        <v>46</v>
      </c>
      <c r="F24" s="5" t="s">
        <v>47</v>
      </c>
      <c r="G24" s="5" t="s">
        <v>48</v>
      </c>
      <c r="H24" s="5" t="s">
        <v>49</v>
      </c>
      <c r="I24" s="5" t="s">
        <v>51</v>
      </c>
      <c r="J24" s="5" t="s">
        <v>52</v>
      </c>
      <c r="K24" s="25"/>
      <c r="L24" s="25"/>
      <c r="M24" s="25"/>
      <c r="N24" s="25"/>
    </row>
    <row r="25" spans="1:14" x14ac:dyDescent="0.25">
      <c r="A25" s="17">
        <v>1</v>
      </c>
      <c r="B25" s="27"/>
      <c r="C25" s="27"/>
      <c r="D25" s="22"/>
      <c r="E25" s="26" t="s">
        <v>340</v>
      </c>
      <c r="G25" s="22" t="s">
        <v>60</v>
      </c>
      <c r="H25" s="3" t="s">
        <v>341</v>
      </c>
      <c r="I25" s="2"/>
      <c r="J25" s="2"/>
    </row>
    <row r="26" spans="1:14" x14ac:dyDescent="0.25">
      <c r="A26" s="17">
        <f>A25+1</f>
        <v>2</v>
      </c>
      <c r="B26" s="2"/>
      <c r="C26" s="22"/>
      <c r="D26" s="22"/>
      <c r="E26" s="37" t="s">
        <v>342</v>
      </c>
      <c r="F26" s="2" t="s">
        <v>59</v>
      </c>
      <c r="G26" s="22" t="s">
        <v>60</v>
      </c>
      <c r="H26" s="3" t="s">
        <v>343</v>
      </c>
      <c r="I26" s="2"/>
      <c r="J26" s="2"/>
    </row>
    <row r="27" spans="1:14" x14ac:dyDescent="0.25">
      <c r="A27" s="17">
        <f t="shared" ref="A27:A43" si="1">A26+1</f>
        <v>3</v>
      </c>
      <c r="B27" s="2"/>
      <c r="C27" s="22"/>
      <c r="D27" s="22"/>
      <c r="E27" s="37" t="s">
        <v>344</v>
      </c>
      <c r="F27" s="2" t="s">
        <v>59</v>
      </c>
      <c r="G27" s="22" t="s">
        <v>60</v>
      </c>
      <c r="H27" s="3" t="s">
        <v>345</v>
      </c>
      <c r="I27" s="2"/>
      <c r="J27" s="2"/>
    </row>
    <row r="28" spans="1:14" x14ac:dyDescent="0.25">
      <c r="A28" s="17">
        <f t="shared" si="1"/>
        <v>4</v>
      </c>
      <c r="B28" s="2"/>
      <c r="C28" s="22"/>
      <c r="D28" s="22"/>
      <c r="E28" s="37" t="s">
        <v>346</v>
      </c>
      <c r="F28" s="2" t="s">
        <v>59</v>
      </c>
      <c r="G28" s="22" t="s">
        <v>60</v>
      </c>
      <c r="H28" s="3" t="s">
        <v>347</v>
      </c>
      <c r="I28" s="2"/>
      <c r="J28" s="2"/>
    </row>
    <row r="29" spans="1:14" x14ac:dyDescent="0.25">
      <c r="A29" s="17">
        <f t="shared" si="1"/>
        <v>5</v>
      </c>
      <c r="B29" s="2" t="s">
        <v>348</v>
      </c>
      <c r="C29" s="22" t="s">
        <v>60</v>
      </c>
      <c r="D29" s="22" t="s">
        <v>60</v>
      </c>
      <c r="E29" s="37" t="s">
        <v>65</v>
      </c>
      <c r="F29" s="2" t="s">
        <v>59</v>
      </c>
      <c r="G29" s="22" t="s">
        <v>60</v>
      </c>
      <c r="H29" s="3" t="s">
        <v>349</v>
      </c>
      <c r="I29" s="2"/>
      <c r="J29" s="2"/>
    </row>
    <row r="30" spans="1:14" ht="14.45" customHeight="1" x14ac:dyDescent="0.25">
      <c r="A30" s="17">
        <f t="shared" si="1"/>
        <v>6</v>
      </c>
      <c r="B30" s="2" t="s">
        <v>348</v>
      </c>
      <c r="C30" s="22" t="s">
        <v>60</v>
      </c>
      <c r="D30" s="22" t="s">
        <v>60</v>
      </c>
      <c r="E30" t="s">
        <v>67</v>
      </c>
      <c r="F30" s="2" t="s">
        <v>59</v>
      </c>
      <c r="G30" s="12" t="s">
        <v>60</v>
      </c>
      <c r="H30" s="62" t="s">
        <v>314</v>
      </c>
      <c r="I30" s="2"/>
      <c r="J30" s="2" t="s">
        <v>62</v>
      </c>
    </row>
    <row r="31" spans="1:14" ht="30" x14ac:dyDescent="0.25">
      <c r="A31" s="17">
        <f t="shared" si="1"/>
        <v>7</v>
      </c>
      <c r="B31" s="2" t="s">
        <v>350</v>
      </c>
      <c r="C31" s="22" t="s">
        <v>60</v>
      </c>
      <c r="D31" s="22" t="s">
        <v>60</v>
      </c>
      <c r="E31" s="37" t="s">
        <v>58</v>
      </c>
      <c r="F31" s="2" t="s">
        <v>94</v>
      </c>
      <c r="G31" s="22" t="s">
        <v>60</v>
      </c>
      <c r="H31" s="38" t="s">
        <v>351</v>
      </c>
      <c r="I31" s="2"/>
      <c r="J31" s="2"/>
    </row>
    <row r="32" spans="1:14" ht="30" x14ac:dyDescent="0.25">
      <c r="A32" s="17">
        <f t="shared" si="1"/>
        <v>8</v>
      </c>
      <c r="B32" s="2" t="s">
        <v>350</v>
      </c>
      <c r="C32" s="22" t="s">
        <v>60</v>
      </c>
      <c r="D32" s="22" t="s">
        <v>60</v>
      </c>
      <c r="E32" s="37" t="s">
        <v>352</v>
      </c>
      <c r="F32" s="2" t="s">
        <v>94</v>
      </c>
      <c r="G32" s="22" t="s">
        <v>62</v>
      </c>
      <c r="H32" s="38" t="s">
        <v>353</v>
      </c>
      <c r="I32" s="2"/>
      <c r="J32" s="2"/>
    </row>
    <row r="33" spans="1:10" x14ac:dyDescent="0.25">
      <c r="A33" s="17">
        <f t="shared" si="1"/>
        <v>9</v>
      </c>
      <c r="B33" s="2" t="s">
        <v>350</v>
      </c>
      <c r="C33" s="22" t="s">
        <v>60</v>
      </c>
      <c r="D33" s="22" t="s">
        <v>60</v>
      </c>
      <c r="E33" s="38" t="s">
        <v>323</v>
      </c>
      <c r="F33" s="3" t="s">
        <v>321</v>
      </c>
      <c r="G33" s="12" t="s">
        <v>60</v>
      </c>
      <c r="H33" s="3"/>
      <c r="I33" s="2"/>
      <c r="J33" s="2"/>
    </row>
    <row r="34" spans="1:10" x14ac:dyDescent="0.25">
      <c r="A34" s="17">
        <f t="shared" si="1"/>
        <v>10</v>
      </c>
      <c r="B34" s="2" t="s">
        <v>350</v>
      </c>
      <c r="C34" s="22" t="s">
        <v>60</v>
      </c>
      <c r="D34" s="22" t="s">
        <v>60</v>
      </c>
      <c r="E34" s="38" t="s">
        <v>63</v>
      </c>
      <c r="F34" s="3" t="s">
        <v>23</v>
      </c>
      <c r="G34" s="12" t="s">
        <v>60</v>
      </c>
      <c r="H34" s="3" t="s">
        <v>354</v>
      </c>
      <c r="I34" s="2"/>
      <c r="J34" s="2"/>
    </row>
    <row r="35" spans="1:10" x14ac:dyDescent="0.25">
      <c r="A35" s="17">
        <f t="shared" si="1"/>
        <v>11</v>
      </c>
      <c r="B35" s="2" t="s">
        <v>350</v>
      </c>
      <c r="C35" s="22" t="s">
        <v>60</v>
      </c>
      <c r="D35" s="22" t="s">
        <v>60</v>
      </c>
      <c r="E35" s="2" t="s">
        <v>335</v>
      </c>
      <c r="F35" s="2" t="s">
        <v>321</v>
      </c>
      <c r="G35" s="22" t="s">
        <v>60</v>
      </c>
      <c r="H35" s="3" t="s">
        <v>355</v>
      </c>
      <c r="I35" s="2"/>
      <c r="J35" s="2" t="s">
        <v>60</v>
      </c>
    </row>
    <row r="36" spans="1:10" x14ac:dyDescent="0.25">
      <c r="A36" s="17">
        <f t="shared" si="1"/>
        <v>12</v>
      </c>
      <c r="B36" s="2" t="s">
        <v>350</v>
      </c>
      <c r="C36" s="22" t="s">
        <v>60</v>
      </c>
      <c r="D36" s="22" t="s">
        <v>60</v>
      </c>
      <c r="E36" s="23" t="s">
        <v>103</v>
      </c>
      <c r="F36" s="2" t="s">
        <v>59</v>
      </c>
      <c r="G36" s="12" t="s">
        <v>60</v>
      </c>
      <c r="H36" s="23" t="s">
        <v>356</v>
      </c>
      <c r="I36" s="2"/>
      <c r="J36" s="2"/>
    </row>
    <row r="37" spans="1:10" x14ac:dyDescent="0.25">
      <c r="A37" s="17">
        <f t="shared" si="1"/>
        <v>13</v>
      </c>
      <c r="B37" s="2" t="s">
        <v>350</v>
      </c>
      <c r="C37" s="22" t="s">
        <v>60</v>
      </c>
      <c r="D37" s="22" t="s">
        <v>60</v>
      </c>
      <c r="E37" s="37" t="s">
        <v>357</v>
      </c>
      <c r="F37" s="2" t="s">
        <v>23</v>
      </c>
      <c r="G37" s="22" t="s">
        <v>60</v>
      </c>
      <c r="H37" s="3"/>
      <c r="I37" s="2"/>
      <c r="J37" s="2"/>
    </row>
    <row r="38" spans="1:10" x14ac:dyDescent="0.25">
      <c r="A38" s="17">
        <f t="shared" si="1"/>
        <v>14</v>
      </c>
      <c r="B38" s="2" t="s">
        <v>350</v>
      </c>
      <c r="C38" s="12" t="s">
        <v>60</v>
      </c>
      <c r="D38" s="12" t="s">
        <v>60</v>
      </c>
      <c r="E38" s="2" t="s">
        <v>358</v>
      </c>
      <c r="F38" s="2" t="s">
        <v>59</v>
      </c>
      <c r="G38" s="20" t="s">
        <v>62</v>
      </c>
      <c r="H38" s="2"/>
      <c r="I38" s="3"/>
      <c r="J38" s="3"/>
    </row>
    <row r="39" spans="1:10" x14ac:dyDescent="0.25">
      <c r="A39" s="17">
        <f t="shared" si="1"/>
        <v>15</v>
      </c>
      <c r="B39" s="2" t="s">
        <v>350</v>
      </c>
      <c r="C39" s="22" t="s">
        <v>60</v>
      </c>
      <c r="D39" s="22" t="s">
        <v>60</v>
      </c>
      <c r="E39" s="37" t="s">
        <v>78</v>
      </c>
      <c r="F39" s="2" t="s">
        <v>59</v>
      </c>
      <c r="G39" s="22" t="s">
        <v>60</v>
      </c>
      <c r="H39" s="3" t="s">
        <v>79</v>
      </c>
      <c r="I39" s="2"/>
      <c r="J39" s="2"/>
    </row>
    <row r="40" spans="1:10" x14ac:dyDescent="0.25">
      <c r="A40" s="17">
        <f t="shared" si="1"/>
        <v>16</v>
      </c>
      <c r="B40" s="2" t="s">
        <v>350</v>
      </c>
      <c r="C40" s="22" t="s">
        <v>60</v>
      </c>
      <c r="D40" s="22" t="s">
        <v>60</v>
      </c>
      <c r="E40" s="38" t="s">
        <v>334</v>
      </c>
      <c r="F40" s="3" t="s">
        <v>23</v>
      </c>
      <c r="G40" s="12" t="s">
        <v>60</v>
      </c>
      <c r="H40" s="3"/>
      <c r="I40" s="2"/>
      <c r="J40" s="2"/>
    </row>
    <row r="41" spans="1:10" x14ac:dyDescent="0.25">
      <c r="A41" s="17">
        <f t="shared" si="1"/>
        <v>17</v>
      </c>
      <c r="B41" s="2" t="s">
        <v>350</v>
      </c>
      <c r="C41" s="22" t="s">
        <v>60</v>
      </c>
      <c r="D41" s="22" t="s">
        <v>60</v>
      </c>
      <c r="E41" s="38" t="s">
        <v>69</v>
      </c>
      <c r="F41" s="3" t="s">
        <v>23</v>
      </c>
      <c r="G41" s="12" t="s">
        <v>60</v>
      </c>
      <c r="H41" s="3"/>
      <c r="I41" s="2"/>
      <c r="J41" s="2"/>
    </row>
    <row r="42" spans="1:10" x14ac:dyDescent="0.25">
      <c r="A42" s="17">
        <f t="shared" si="1"/>
        <v>18</v>
      </c>
      <c r="B42" s="2" t="s">
        <v>350</v>
      </c>
      <c r="C42" s="22" t="s">
        <v>60</v>
      </c>
      <c r="D42" s="22" t="s">
        <v>60</v>
      </c>
      <c r="E42" s="38" t="s">
        <v>359</v>
      </c>
      <c r="F42" s="3" t="s">
        <v>23</v>
      </c>
      <c r="G42" s="12" t="s">
        <v>60</v>
      </c>
      <c r="H42" s="3"/>
      <c r="I42" s="2"/>
      <c r="J42" s="2"/>
    </row>
    <row r="43" spans="1:10" x14ac:dyDescent="0.25">
      <c r="A43" s="17">
        <f t="shared" si="1"/>
        <v>19</v>
      </c>
      <c r="B43" s="7"/>
      <c r="C43" s="22" t="s">
        <v>60</v>
      </c>
      <c r="D43" s="22" t="s">
        <v>62</v>
      </c>
      <c r="E43" s="2" t="s">
        <v>101</v>
      </c>
      <c r="F43" s="2" t="s">
        <v>59</v>
      </c>
      <c r="G43" s="22" t="s">
        <v>62</v>
      </c>
      <c r="H43" s="3" t="s">
        <v>360</v>
      </c>
      <c r="I43" s="2"/>
      <c r="J43" s="2"/>
    </row>
  </sheetData>
  <mergeCells count="8">
    <mergeCell ref="A1:N1"/>
    <mergeCell ref="A2:N2"/>
    <mergeCell ref="A22:N22"/>
    <mergeCell ref="A23:N23"/>
    <mergeCell ref="H12:H13"/>
    <mergeCell ref="H16:H17"/>
    <mergeCell ref="H14:H15"/>
    <mergeCell ref="H8:H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C083E-476D-4A78-BA90-146F808CAD00}">
  <dimension ref="A1:N24"/>
  <sheetViews>
    <sheetView tabSelected="1" workbookViewId="0">
      <selection activeCell="A2" sqref="A2:XFD2"/>
    </sheetView>
  </sheetViews>
  <sheetFormatPr defaultRowHeight="15" x14ac:dyDescent="0.25"/>
  <cols>
    <col min="2" max="2" width="25" customWidth="1"/>
    <col min="5" max="5" width="39" customWidth="1"/>
    <col min="6" max="6" width="13.5703125" bestFit="1" customWidth="1"/>
    <col min="8" max="8" width="69.5703125" customWidth="1"/>
  </cols>
  <sheetData>
    <row r="1" spans="1:14" ht="18.75" x14ac:dyDescent="0.3">
      <c r="A1" s="71" t="s">
        <v>361</v>
      </c>
      <c r="B1" s="71"/>
      <c r="C1" s="71"/>
      <c r="D1" s="71"/>
      <c r="E1" s="71"/>
      <c r="F1" s="71"/>
      <c r="G1" s="71"/>
      <c r="H1" s="71"/>
      <c r="I1" s="71"/>
      <c r="J1" s="71"/>
      <c r="K1" s="71"/>
      <c r="L1" s="71"/>
      <c r="M1" s="71"/>
      <c r="N1" s="71"/>
    </row>
    <row r="2" spans="1:14" s="4" customFormat="1" ht="18.75" x14ac:dyDescent="0.3">
      <c r="A2" s="65" t="s">
        <v>786</v>
      </c>
      <c r="B2" s="65" t="s">
        <v>787</v>
      </c>
      <c r="C2" s="65"/>
      <c r="D2" s="65"/>
      <c r="E2" s="65"/>
      <c r="F2" s="65"/>
      <c r="G2" s="65"/>
      <c r="H2" s="65"/>
      <c r="I2" s="65"/>
      <c r="J2" s="65"/>
      <c r="K2" s="65"/>
      <c r="L2" s="65"/>
      <c r="M2" s="65"/>
      <c r="N2" s="65"/>
    </row>
    <row r="3" spans="1:14" ht="18.75" x14ac:dyDescent="0.3">
      <c r="A3" s="71" t="s">
        <v>40</v>
      </c>
      <c r="B3" s="71"/>
      <c r="C3" s="71"/>
      <c r="D3" s="71"/>
      <c r="E3" s="71"/>
      <c r="F3" s="71"/>
      <c r="G3" s="71"/>
      <c r="H3" s="71"/>
      <c r="I3" s="71"/>
      <c r="J3" s="71"/>
      <c r="K3" s="71"/>
      <c r="L3" s="71"/>
      <c r="M3" s="71"/>
      <c r="N3" s="71"/>
    </row>
    <row r="4" spans="1:14" ht="120" x14ac:dyDescent="0.25">
      <c r="A4" s="5" t="s">
        <v>41</v>
      </c>
      <c r="B4" s="5" t="s">
        <v>42</v>
      </c>
      <c r="C4" s="5" t="s">
        <v>43</v>
      </c>
      <c r="D4" s="5" t="s">
        <v>44</v>
      </c>
      <c r="E4" s="5" t="s">
        <v>46</v>
      </c>
      <c r="F4" s="5" t="s">
        <v>47</v>
      </c>
      <c r="G4" s="5" t="s">
        <v>48</v>
      </c>
      <c r="H4" s="5" t="s">
        <v>49</v>
      </c>
      <c r="I4" s="5" t="s">
        <v>51</v>
      </c>
      <c r="J4" s="5" t="s">
        <v>52</v>
      </c>
      <c r="K4" s="5" t="s">
        <v>53</v>
      </c>
      <c r="L4" s="6" t="s">
        <v>54</v>
      </c>
      <c r="M4" s="9" t="s">
        <v>55</v>
      </c>
      <c r="N4" s="9" t="s">
        <v>56</v>
      </c>
    </row>
    <row r="5" spans="1:14" ht="30" x14ac:dyDescent="0.25">
      <c r="A5" s="17">
        <v>1</v>
      </c>
      <c r="B5" s="2"/>
      <c r="C5" s="2"/>
      <c r="D5" s="2"/>
      <c r="E5" s="2" t="s">
        <v>103</v>
      </c>
      <c r="F5" s="2" t="s">
        <v>59</v>
      </c>
      <c r="G5" s="12" t="s">
        <v>60</v>
      </c>
      <c r="H5" s="34" t="s">
        <v>362</v>
      </c>
      <c r="I5" s="2"/>
      <c r="J5" s="2"/>
      <c r="K5" s="2"/>
      <c r="L5" s="2"/>
      <c r="M5" s="2"/>
      <c r="N5" s="20" t="s">
        <v>62</v>
      </c>
    </row>
    <row r="6" spans="1:14" ht="18.75" x14ac:dyDescent="0.3">
      <c r="A6" s="67" t="s">
        <v>97</v>
      </c>
      <c r="B6" s="78"/>
      <c r="C6" s="78"/>
      <c r="D6" s="78"/>
      <c r="E6" s="78"/>
      <c r="F6" s="78"/>
      <c r="G6" s="78"/>
      <c r="H6" s="78"/>
      <c r="I6" s="78"/>
      <c r="J6" s="78"/>
      <c r="K6" s="78"/>
      <c r="L6" s="78"/>
      <c r="M6" s="78"/>
      <c r="N6" s="79"/>
    </row>
    <row r="7" spans="1:14" ht="120" x14ac:dyDescent="0.25">
      <c r="A7" s="5" t="s">
        <v>41</v>
      </c>
      <c r="B7" s="5" t="s">
        <v>42</v>
      </c>
      <c r="C7" s="5" t="s">
        <v>43</v>
      </c>
      <c r="D7" s="5" t="s">
        <v>44</v>
      </c>
      <c r="E7" s="5" t="s">
        <v>46</v>
      </c>
      <c r="F7" s="5" t="s">
        <v>47</v>
      </c>
      <c r="G7" s="5" t="s">
        <v>48</v>
      </c>
      <c r="H7" s="5" t="s">
        <v>49</v>
      </c>
      <c r="I7" s="5" t="s">
        <v>51</v>
      </c>
      <c r="J7" s="5" t="s">
        <v>52</v>
      </c>
      <c r="K7" s="25"/>
      <c r="L7" s="25"/>
      <c r="M7" s="25"/>
      <c r="N7" s="25"/>
    </row>
    <row r="8" spans="1:14" x14ac:dyDescent="0.25">
      <c r="A8" s="17">
        <v>1</v>
      </c>
      <c r="B8" s="33"/>
      <c r="C8" s="33"/>
      <c r="D8" s="3"/>
      <c r="E8" s="3" t="s">
        <v>340</v>
      </c>
      <c r="F8" s="2" t="s">
        <v>59</v>
      </c>
      <c r="G8" s="12" t="s">
        <v>60</v>
      </c>
      <c r="H8" s="3" t="s">
        <v>341</v>
      </c>
      <c r="I8" s="3"/>
      <c r="J8" s="3"/>
    </row>
    <row r="9" spans="1:14" x14ac:dyDescent="0.25">
      <c r="A9" s="17">
        <f>A8+1</f>
        <v>2</v>
      </c>
      <c r="B9" s="2" t="s">
        <v>363</v>
      </c>
      <c r="C9" s="22" t="s">
        <v>60</v>
      </c>
      <c r="D9" s="22" t="s">
        <v>60</v>
      </c>
      <c r="E9" s="2" t="s">
        <v>103</v>
      </c>
      <c r="F9" s="2" t="s">
        <v>59</v>
      </c>
      <c r="G9" s="12" t="s">
        <v>60</v>
      </c>
      <c r="H9" s="2" t="s">
        <v>364</v>
      </c>
      <c r="I9" s="2"/>
      <c r="J9" s="2"/>
    </row>
    <row r="10" spans="1:14" x14ac:dyDescent="0.25">
      <c r="A10" s="17">
        <f t="shared" ref="A10:A23" si="0">A9+1</f>
        <v>3</v>
      </c>
      <c r="B10" s="2" t="s">
        <v>363</v>
      </c>
      <c r="C10" s="22" t="s">
        <v>60</v>
      </c>
      <c r="D10" s="22" t="s">
        <v>60</v>
      </c>
      <c r="E10" s="2" t="s">
        <v>58</v>
      </c>
      <c r="F10" s="2" t="s">
        <v>59</v>
      </c>
      <c r="G10" s="2" t="s">
        <v>60</v>
      </c>
      <c r="H10" s="3" t="s">
        <v>365</v>
      </c>
      <c r="I10" s="2"/>
      <c r="J10" s="2"/>
    </row>
    <row r="11" spans="1:14" x14ac:dyDescent="0.25">
      <c r="A11" s="17">
        <f t="shared" si="0"/>
        <v>4</v>
      </c>
      <c r="B11" s="2" t="s">
        <v>363</v>
      </c>
      <c r="C11" s="22" t="s">
        <v>60</v>
      </c>
      <c r="D11" s="22" t="s">
        <v>60</v>
      </c>
      <c r="E11" s="2" t="s">
        <v>63</v>
      </c>
      <c r="F11" s="2" t="s">
        <v>23</v>
      </c>
      <c r="G11" s="2" t="s">
        <v>60</v>
      </c>
      <c r="H11" s="3" t="s">
        <v>366</v>
      </c>
      <c r="I11" s="2"/>
      <c r="J11" s="2"/>
    </row>
    <row r="12" spans="1:14" x14ac:dyDescent="0.25">
      <c r="A12" s="17">
        <f t="shared" si="0"/>
        <v>5</v>
      </c>
      <c r="B12" s="2" t="s">
        <v>363</v>
      </c>
      <c r="C12" s="22" t="s">
        <v>60</v>
      </c>
      <c r="D12" s="22" t="s">
        <v>60</v>
      </c>
      <c r="E12" s="2" t="s">
        <v>65</v>
      </c>
      <c r="F12" s="2" t="s">
        <v>59</v>
      </c>
      <c r="G12" s="2" t="s">
        <v>62</v>
      </c>
      <c r="H12" s="3" t="s">
        <v>367</v>
      </c>
      <c r="I12" s="2"/>
      <c r="J12" s="2"/>
    </row>
    <row r="13" spans="1:14" ht="30" x14ac:dyDescent="0.25">
      <c r="A13" s="17">
        <f t="shared" si="0"/>
        <v>6</v>
      </c>
      <c r="B13" s="2" t="s">
        <v>363</v>
      </c>
      <c r="C13" s="22" t="s">
        <v>60</v>
      </c>
      <c r="D13" s="22" t="s">
        <v>60</v>
      </c>
      <c r="E13" s="2" t="s">
        <v>67</v>
      </c>
      <c r="F13" s="2" t="s">
        <v>59</v>
      </c>
      <c r="G13" s="2" t="s">
        <v>62</v>
      </c>
      <c r="H13" s="3" t="s">
        <v>368</v>
      </c>
      <c r="I13" s="2"/>
      <c r="J13" s="2"/>
    </row>
    <row r="14" spans="1:14" x14ac:dyDescent="0.25">
      <c r="A14" s="17">
        <f t="shared" si="0"/>
        <v>7</v>
      </c>
      <c r="B14" s="2" t="s">
        <v>363</v>
      </c>
      <c r="C14" s="22" t="s">
        <v>60</v>
      </c>
      <c r="D14" s="22" t="s">
        <v>60</v>
      </c>
      <c r="E14" s="2" t="s">
        <v>69</v>
      </c>
      <c r="F14" s="2" t="s">
        <v>23</v>
      </c>
      <c r="G14" s="2" t="s">
        <v>62</v>
      </c>
      <c r="H14" s="3" t="s">
        <v>369</v>
      </c>
      <c r="I14" s="2"/>
      <c r="J14" s="2"/>
    </row>
    <row r="15" spans="1:14" ht="30" x14ac:dyDescent="0.25">
      <c r="A15" s="17">
        <f t="shared" si="0"/>
        <v>8</v>
      </c>
      <c r="B15" s="2" t="s">
        <v>363</v>
      </c>
      <c r="C15" s="22" t="s">
        <v>60</v>
      </c>
      <c r="D15" s="22" t="s">
        <v>60</v>
      </c>
      <c r="E15" s="2" t="s">
        <v>71</v>
      </c>
      <c r="F15" s="2" t="s">
        <v>23</v>
      </c>
      <c r="G15" s="2" t="s">
        <v>62</v>
      </c>
      <c r="H15" s="3" t="s">
        <v>370</v>
      </c>
      <c r="I15" s="2"/>
      <c r="J15" s="2"/>
    </row>
    <row r="16" spans="1:14" x14ac:dyDescent="0.25">
      <c r="A16" s="17">
        <f t="shared" si="0"/>
        <v>9</v>
      </c>
      <c r="B16" s="2" t="s">
        <v>363</v>
      </c>
      <c r="C16" s="22" t="s">
        <v>60</v>
      </c>
      <c r="D16" s="22" t="s">
        <v>60</v>
      </c>
      <c r="E16" t="s">
        <v>73</v>
      </c>
      <c r="F16" t="s">
        <v>59</v>
      </c>
      <c r="G16" t="s">
        <v>62</v>
      </c>
      <c r="H16" t="s">
        <v>74</v>
      </c>
      <c r="I16" s="2"/>
      <c r="J16" s="22"/>
    </row>
    <row r="17" spans="1:10" x14ac:dyDescent="0.25">
      <c r="A17" s="17">
        <f t="shared" si="0"/>
        <v>10</v>
      </c>
      <c r="B17" s="2" t="s">
        <v>363</v>
      </c>
      <c r="C17" s="22" t="s">
        <v>60</v>
      </c>
      <c r="D17" s="22" t="s">
        <v>60</v>
      </c>
      <c r="E17" s="2" t="s">
        <v>78</v>
      </c>
      <c r="F17" s="2" t="s">
        <v>59</v>
      </c>
      <c r="G17" s="2" t="s">
        <v>62</v>
      </c>
      <c r="H17" s="3" t="s">
        <v>79</v>
      </c>
      <c r="I17" s="2"/>
      <c r="J17" s="22"/>
    </row>
    <row r="18" spans="1:10" x14ac:dyDescent="0.25">
      <c r="A18" s="17">
        <f t="shared" si="0"/>
        <v>11</v>
      </c>
      <c r="B18" s="2" t="s">
        <v>363</v>
      </c>
      <c r="C18" s="22" t="s">
        <v>60</v>
      </c>
      <c r="D18" s="22" t="s">
        <v>60</v>
      </c>
      <c r="E18" s="2" t="s">
        <v>80</v>
      </c>
      <c r="F18" s="2" t="s">
        <v>59</v>
      </c>
      <c r="G18" s="2" t="s">
        <v>62</v>
      </c>
      <c r="H18" s="3" t="s">
        <v>371</v>
      </c>
      <c r="I18" s="2"/>
      <c r="J18" s="22" t="s">
        <v>60</v>
      </c>
    </row>
    <row r="19" spans="1:10" x14ac:dyDescent="0.25">
      <c r="A19" s="17">
        <f t="shared" si="0"/>
        <v>12</v>
      </c>
      <c r="B19" s="2" t="s">
        <v>363</v>
      </c>
      <c r="C19" s="22" t="s">
        <v>60</v>
      </c>
      <c r="D19" s="22" t="s">
        <v>60</v>
      </c>
      <c r="E19" s="2" t="s">
        <v>87</v>
      </c>
      <c r="F19" s="2" t="s">
        <v>59</v>
      </c>
      <c r="G19" s="2" t="s">
        <v>62</v>
      </c>
      <c r="H19" s="3" t="s">
        <v>372</v>
      </c>
      <c r="I19" s="2"/>
      <c r="J19" s="22"/>
    </row>
    <row r="20" spans="1:10" x14ac:dyDescent="0.25">
      <c r="A20" s="17">
        <f t="shared" si="0"/>
        <v>13</v>
      </c>
      <c r="B20" s="2" t="s">
        <v>363</v>
      </c>
      <c r="C20" s="22" t="s">
        <v>60</v>
      </c>
      <c r="D20" s="22" t="s">
        <v>60</v>
      </c>
      <c r="E20" s="2" t="s">
        <v>91</v>
      </c>
      <c r="F20" s="2" t="s">
        <v>59</v>
      </c>
      <c r="G20" s="2" t="s">
        <v>62</v>
      </c>
      <c r="H20" s="3" t="s">
        <v>373</v>
      </c>
      <c r="I20" s="2"/>
      <c r="J20" s="2"/>
    </row>
    <row r="21" spans="1:10" x14ac:dyDescent="0.25">
      <c r="A21" s="17">
        <f t="shared" si="0"/>
        <v>14</v>
      </c>
      <c r="B21" s="2" t="s">
        <v>363</v>
      </c>
      <c r="C21" s="22" t="s">
        <v>60</v>
      </c>
      <c r="D21" s="22" t="s">
        <v>60</v>
      </c>
      <c r="E21" s="2" t="s">
        <v>93</v>
      </c>
      <c r="F21" s="2" t="s">
        <v>94</v>
      </c>
      <c r="G21" s="2" t="s">
        <v>62</v>
      </c>
      <c r="H21" s="38" t="s">
        <v>374</v>
      </c>
      <c r="I21" s="2"/>
      <c r="J21" s="2"/>
    </row>
    <row r="22" spans="1:10" x14ac:dyDescent="0.25">
      <c r="A22" s="17">
        <f t="shared" si="0"/>
        <v>15</v>
      </c>
      <c r="B22" s="2" t="s">
        <v>363</v>
      </c>
      <c r="C22" s="22" t="s">
        <v>60</v>
      </c>
      <c r="D22" s="22" t="s">
        <v>60</v>
      </c>
      <c r="E22" s="2" t="s">
        <v>375</v>
      </c>
      <c r="F22" s="2" t="s">
        <v>59</v>
      </c>
      <c r="G22" s="2" t="s">
        <v>62</v>
      </c>
      <c r="H22" s="38" t="s">
        <v>376</v>
      </c>
      <c r="I22" s="2"/>
      <c r="J22" s="2"/>
    </row>
    <row r="23" spans="1:10" s="4" customFormat="1" x14ac:dyDescent="0.25">
      <c r="A23" s="46">
        <f t="shared" si="0"/>
        <v>16</v>
      </c>
      <c r="B23" s="2" t="s">
        <v>363</v>
      </c>
      <c r="C23" s="22" t="s">
        <v>60</v>
      </c>
      <c r="D23" s="22" t="s">
        <v>60</v>
      </c>
      <c r="E23" s="48" t="s">
        <v>105</v>
      </c>
      <c r="F23" s="47" t="s">
        <v>23</v>
      </c>
      <c r="G23" s="12" t="s">
        <v>60</v>
      </c>
      <c r="H23" s="47" t="s">
        <v>377</v>
      </c>
      <c r="I23" s="47"/>
    </row>
    <row r="24" spans="1:10" ht="30" x14ac:dyDescent="0.25">
      <c r="A24" s="17">
        <f>A22+1</f>
        <v>16</v>
      </c>
      <c r="B24" s="33" t="s">
        <v>378</v>
      </c>
      <c r="C24" s="12" t="s">
        <v>60</v>
      </c>
      <c r="D24" s="12" t="s">
        <v>62</v>
      </c>
      <c r="E24" s="3" t="s">
        <v>101</v>
      </c>
      <c r="F24" s="3" t="s">
        <v>59</v>
      </c>
      <c r="G24" s="12" t="s">
        <v>62</v>
      </c>
      <c r="H24" s="3" t="s">
        <v>379</v>
      </c>
      <c r="I24" s="22" t="s">
        <v>60</v>
      </c>
      <c r="J24" s="3"/>
    </row>
  </sheetData>
  <mergeCells count="3">
    <mergeCell ref="A1:N1"/>
    <mergeCell ref="A3:N3"/>
    <mergeCell ref="A6:N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0B986-1239-4C03-963F-0D442EE47127}">
  <dimension ref="A1:R24"/>
  <sheetViews>
    <sheetView zoomScale="70" zoomScaleNormal="70" workbookViewId="0">
      <selection activeCell="R7" sqref="R7"/>
    </sheetView>
  </sheetViews>
  <sheetFormatPr defaultColWidth="9.140625" defaultRowHeight="15" x14ac:dyDescent="0.25"/>
  <cols>
    <col min="1" max="1" width="9.140625" style="1"/>
    <col min="2" max="2" width="25" style="1" customWidth="1"/>
    <col min="3" max="4" width="9.140625" style="1"/>
    <col min="5" max="6" width="29.7109375" style="1" bestFit="1" customWidth="1"/>
    <col min="7" max="7" width="9.140625" style="1"/>
    <col min="8" max="8" width="64.140625" style="1" bestFit="1" customWidth="1"/>
    <col min="9" max="9" width="44.85546875" style="1" customWidth="1"/>
    <col min="10" max="10" width="13" style="1" customWidth="1"/>
    <col min="11" max="11" width="11.140625" style="1" customWidth="1"/>
    <col min="12" max="12" width="18.42578125" style="1" customWidth="1"/>
    <col min="13" max="13" width="20" style="1" customWidth="1"/>
    <col min="14" max="14" width="18.7109375" style="1" customWidth="1"/>
    <col min="15" max="15" width="9.140625" style="1"/>
    <col min="16" max="16" width="46.85546875" style="1" customWidth="1"/>
    <col min="17" max="17" width="9.140625" style="1"/>
    <col min="18" max="18" width="41.85546875" style="1" customWidth="1"/>
    <col min="19" max="16384" width="9.140625" style="1"/>
  </cols>
  <sheetData>
    <row r="1" spans="1:18" ht="28.5" x14ac:dyDescent="0.45">
      <c r="A1" s="84" t="s">
        <v>380</v>
      </c>
      <c r="B1" s="84"/>
      <c r="C1" s="84"/>
      <c r="D1" s="84"/>
      <c r="E1" s="84"/>
      <c r="F1" s="84"/>
      <c r="G1" s="84"/>
      <c r="H1" s="84"/>
    </row>
    <row r="2" spans="1:18" ht="120" x14ac:dyDescent="0.25">
      <c r="A2" s="5" t="s">
        <v>41</v>
      </c>
      <c r="B2" s="5" t="s">
        <v>42</v>
      </c>
      <c r="C2" s="5" t="s">
        <v>43</v>
      </c>
      <c r="D2" s="5" t="s">
        <v>44</v>
      </c>
      <c r="E2" s="5" t="s">
        <v>46</v>
      </c>
      <c r="F2" s="5" t="s">
        <v>47</v>
      </c>
      <c r="G2" s="44" t="s">
        <v>48</v>
      </c>
      <c r="H2" s="5" t="s">
        <v>49</v>
      </c>
      <c r="I2" s="5" t="s">
        <v>381</v>
      </c>
    </row>
    <row r="3" spans="1:18" x14ac:dyDescent="0.25">
      <c r="A3" s="3">
        <v>3</v>
      </c>
      <c r="B3" s="3"/>
      <c r="C3" s="3"/>
      <c r="D3" s="3"/>
      <c r="E3" s="49" t="s">
        <v>382</v>
      </c>
      <c r="F3" s="3" t="s">
        <v>59</v>
      </c>
      <c r="G3" s="50" t="s">
        <v>62</v>
      </c>
      <c r="H3" s="3" t="s">
        <v>383</v>
      </c>
      <c r="I3" s="3" t="s">
        <v>384</v>
      </c>
    </row>
    <row r="4" spans="1:18" ht="28.5" x14ac:dyDescent="0.45">
      <c r="A4" s="84" t="s">
        <v>385</v>
      </c>
      <c r="B4" s="84"/>
      <c r="C4" s="84"/>
      <c r="D4" s="84"/>
      <c r="E4" s="84"/>
      <c r="F4" s="84"/>
      <c r="G4" s="84"/>
      <c r="H4" s="84"/>
      <c r="I4" s="84"/>
      <c r="J4" s="84"/>
      <c r="K4" s="84"/>
      <c r="L4" s="84"/>
      <c r="M4" s="84"/>
      <c r="N4" s="84"/>
    </row>
    <row r="5" spans="1:18" ht="18.75" x14ac:dyDescent="0.3">
      <c r="A5" s="85" t="s">
        <v>40</v>
      </c>
      <c r="B5" s="85"/>
      <c r="C5" s="85"/>
      <c r="D5" s="85"/>
      <c r="E5" s="85"/>
      <c r="F5" s="85"/>
      <c r="G5" s="85"/>
      <c r="H5" s="85"/>
      <c r="I5" s="85"/>
      <c r="J5" s="85"/>
      <c r="K5" s="85"/>
      <c r="L5" s="85"/>
      <c r="M5" s="85"/>
      <c r="N5" s="85"/>
    </row>
    <row r="6" spans="1:18" ht="120" x14ac:dyDescent="0.25">
      <c r="A6" s="5" t="s">
        <v>41</v>
      </c>
      <c r="B6" s="5" t="s">
        <v>42</v>
      </c>
      <c r="C6" s="5" t="s">
        <v>43</v>
      </c>
      <c r="D6" s="5" t="s">
        <v>44</v>
      </c>
      <c r="E6" s="5" t="s">
        <v>45</v>
      </c>
      <c r="F6" s="5" t="s">
        <v>46</v>
      </c>
      <c r="G6" s="5" t="s">
        <v>47</v>
      </c>
      <c r="H6" s="5" t="s">
        <v>49</v>
      </c>
      <c r="I6" s="5" t="s">
        <v>48</v>
      </c>
      <c r="J6" s="5" t="s">
        <v>50</v>
      </c>
      <c r="K6" s="5" t="s">
        <v>51</v>
      </c>
      <c r="L6" s="5" t="s">
        <v>52</v>
      </c>
      <c r="M6" s="5" t="s">
        <v>53</v>
      </c>
      <c r="N6" s="5" t="s">
        <v>54</v>
      </c>
      <c r="O6" s="9" t="s">
        <v>55</v>
      </c>
      <c r="P6" s="9" t="s">
        <v>56</v>
      </c>
      <c r="Q6" s="9" t="s">
        <v>386</v>
      </c>
      <c r="R6" s="45" t="s">
        <v>381</v>
      </c>
    </row>
    <row r="7" spans="1:18" ht="195" x14ac:dyDescent="0.25">
      <c r="A7" s="51">
        <v>1</v>
      </c>
      <c r="B7" s="3"/>
      <c r="C7" s="3"/>
      <c r="D7" s="3"/>
      <c r="E7" s="3"/>
      <c r="F7" s="3" t="s">
        <v>382</v>
      </c>
      <c r="G7" s="3" t="s">
        <v>59</v>
      </c>
      <c r="H7" s="3" t="s">
        <v>387</v>
      </c>
      <c r="I7" s="12" t="s">
        <v>62</v>
      </c>
      <c r="J7" s="3"/>
      <c r="K7" s="3"/>
      <c r="L7" s="3"/>
      <c r="M7" s="3"/>
      <c r="N7" s="3"/>
      <c r="O7" s="3"/>
      <c r="P7" s="3" t="s">
        <v>60</v>
      </c>
      <c r="Q7" s="52"/>
      <c r="R7" s="3" t="s">
        <v>388</v>
      </c>
    </row>
    <row r="8" spans="1:18" ht="135" x14ac:dyDescent="0.25">
      <c r="A8" s="51">
        <v>2</v>
      </c>
      <c r="B8" s="3"/>
      <c r="C8" s="3"/>
      <c r="D8" s="3"/>
      <c r="E8" s="3"/>
      <c r="F8" s="3" t="s">
        <v>335</v>
      </c>
      <c r="G8" s="3" t="s">
        <v>59</v>
      </c>
      <c r="H8" s="3" t="s">
        <v>389</v>
      </c>
      <c r="I8" s="53" t="s">
        <v>62</v>
      </c>
      <c r="J8" s="3"/>
      <c r="K8" s="3"/>
      <c r="L8" s="3"/>
      <c r="M8" s="3"/>
      <c r="N8" s="3"/>
      <c r="O8" s="3"/>
      <c r="P8" s="3" t="s">
        <v>60</v>
      </c>
      <c r="Q8" s="52"/>
      <c r="R8" s="54" t="s">
        <v>390</v>
      </c>
    </row>
    <row r="9" spans="1:18" ht="28.5" x14ac:dyDescent="0.45">
      <c r="A9" s="84" t="s">
        <v>391</v>
      </c>
      <c r="B9" s="84"/>
      <c r="C9" s="84"/>
      <c r="D9" s="84"/>
      <c r="E9" s="84"/>
      <c r="F9" s="84"/>
      <c r="G9" s="84"/>
      <c r="H9" s="84"/>
      <c r="I9" s="84"/>
      <c r="J9" s="84"/>
      <c r="K9" s="84"/>
      <c r="L9" s="84"/>
      <c r="M9" s="84"/>
      <c r="N9" s="84"/>
    </row>
    <row r="10" spans="1:18" ht="18.75" x14ac:dyDescent="0.3">
      <c r="A10" s="85" t="s">
        <v>40</v>
      </c>
      <c r="B10" s="85"/>
      <c r="C10" s="85"/>
      <c r="D10" s="85"/>
      <c r="E10" s="85"/>
      <c r="F10" s="85"/>
      <c r="G10" s="85"/>
      <c r="H10" s="85"/>
      <c r="I10" s="85"/>
      <c r="J10" s="85"/>
      <c r="K10" s="85"/>
      <c r="L10" s="85"/>
      <c r="M10" s="85"/>
      <c r="N10" s="85"/>
    </row>
    <row r="11" spans="1:18" ht="120" x14ac:dyDescent="0.25">
      <c r="A11" s="5" t="s">
        <v>41</v>
      </c>
      <c r="B11" s="5" t="s">
        <v>42</v>
      </c>
      <c r="C11" s="5" t="s">
        <v>43</v>
      </c>
      <c r="D11" s="5" t="s">
        <v>44</v>
      </c>
      <c r="E11" s="5" t="s">
        <v>45</v>
      </c>
      <c r="F11" s="5" t="s">
        <v>46</v>
      </c>
      <c r="G11" s="5" t="s">
        <v>47</v>
      </c>
      <c r="H11" s="5" t="s">
        <v>49</v>
      </c>
      <c r="I11" s="5" t="s">
        <v>48</v>
      </c>
      <c r="J11" s="5" t="s">
        <v>50</v>
      </c>
      <c r="K11" s="5" t="s">
        <v>51</v>
      </c>
      <c r="L11" s="5" t="s">
        <v>52</v>
      </c>
      <c r="M11" s="5" t="s">
        <v>53</v>
      </c>
      <c r="N11" s="5" t="s">
        <v>54</v>
      </c>
      <c r="O11" s="9"/>
      <c r="P11" s="45" t="s">
        <v>381</v>
      </c>
    </row>
    <row r="12" spans="1:18" ht="195" x14ac:dyDescent="0.25">
      <c r="A12" s="51">
        <f>[1]Update!A12+1</f>
        <v>8</v>
      </c>
      <c r="B12" s="3"/>
      <c r="C12" s="3"/>
      <c r="D12" s="3"/>
      <c r="E12" s="3" t="s">
        <v>382</v>
      </c>
      <c r="F12" s="3" t="s">
        <v>59</v>
      </c>
      <c r="G12" s="3" t="s">
        <v>62</v>
      </c>
      <c r="H12" s="3" t="s">
        <v>387</v>
      </c>
      <c r="I12" s="3" t="s">
        <v>62</v>
      </c>
      <c r="J12" s="3"/>
      <c r="K12" s="3"/>
      <c r="L12" s="3"/>
      <c r="M12" s="3"/>
      <c r="N12" s="3"/>
      <c r="O12" s="3"/>
      <c r="P12" s="3" t="s">
        <v>388</v>
      </c>
    </row>
    <row r="13" spans="1:18" ht="300" x14ac:dyDescent="0.25">
      <c r="A13" s="51" t="e">
        <f>#REF!+1</f>
        <v>#REF!</v>
      </c>
      <c r="B13" s="3"/>
      <c r="C13" s="3"/>
      <c r="D13" s="3"/>
      <c r="E13" s="3" t="s">
        <v>335</v>
      </c>
      <c r="F13" s="3" t="s">
        <v>59</v>
      </c>
      <c r="G13" s="3" t="s">
        <v>62</v>
      </c>
      <c r="H13" s="3" t="s">
        <v>392</v>
      </c>
      <c r="I13" s="3" t="s">
        <v>60</v>
      </c>
      <c r="J13" s="3"/>
      <c r="K13" s="3"/>
      <c r="L13" s="3"/>
      <c r="M13" s="3"/>
      <c r="N13" s="3"/>
      <c r="O13" s="3" t="s">
        <v>60</v>
      </c>
      <c r="P13" s="54" t="s">
        <v>390</v>
      </c>
    </row>
    <row r="14" spans="1:18" ht="28.5" x14ac:dyDescent="0.45">
      <c r="A14" s="84" t="s">
        <v>393</v>
      </c>
      <c r="B14" s="84"/>
      <c r="C14" s="84"/>
      <c r="D14" s="84"/>
      <c r="E14" s="84"/>
      <c r="F14" s="84"/>
      <c r="G14" s="84"/>
      <c r="H14" s="84"/>
      <c r="I14" s="84"/>
      <c r="J14" s="84"/>
      <c r="K14" s="84"/>
      <c r="L14" s="84"/>
      <c r="M14" s="84"/>
      <c r="N14" s="84"/>
      <c r="O14" s="55"/>
    </row>
    <row r="15" spans="1:18" ht="60" customHeight="1" x14ac:dyDescent="0.25">
      <c r="A15" s="82" t="s">
        <v>394</v>
      </c>
      <c r="B15" s="82"/>
      <c r="C15" s="82"/>
    </row>
    <row r="16" spans="1:18" ht="90" customHeight="1" x14ac:dyDescent="0.25">
      <c r="A16" s="83" t="s">
        <v>395</v>
      </c>
      <c r="B16" s="83"/>
      <c r="C16" s="83"/>
    </row>
    <row r="17" spans="1:14" ht="75" customHeight="1" x14ac:dyDescent="0.25">
      <c r="A17" s="83" t="s">
        <v>396</v>
      </c>
      <c r="B17" s="83"/>
      <c r="C17" s="83"/>
    </row>
    <row r="18" spans="1:14" ht="90" customHeight="1" x14ac:dyDescent="0.25">
      <c r="A18" s="83" t="s">
        <v>397</v>
      </c>
      <c r="B18" s="83"/>
      <c r="C18" s="83"/>
    </row>
    <row r="19" spans="1:14" ht="90" customHeight="1" x14ac:dyDescent="0.25">
      <c r="A19" s="83" t="s">
        <v>398</v>
      </c>
      <c r="B19" s="83"/>
      <c r="C19" s="83"/>
    </row>
    <row r="20" spans="1:14" ht="90" customHeight="1" x14ac:dyDescent="0.25">
      <c r="A20" s="83" t="s">
        <v>399</v>
      </c>
      <c r="B20" s="83"/>
      <c r="C20" s="83"/>
    </row>
    <row r="21" spans="1:14" ht="75" customHeight="1" x14ac:dyDescent="0.25">
      <c r="A21" s="83" t="s">
        <v>400</v>
      </c>
      <c r="B21" s="83"/>
      <c r="C21" s="83"/>
    </row>
    <row r="22" spans="1:14" ht="28.5" x14ac:dyDescent="0.45">
      <c r="A22" s="84" t="s">
        <v>401</v>
      </c>
      <c r="B22" s="84"/>
      <c r="C22" s="84"/>
      <c r="D22" s="84"/>
      <c r="E22" s="84"/>
      <c r="F22" s="84"/>
      <c r="G22" s="84"/>
      <c r="H22" s="84"/>
      <c r="I22" s="84"/>
      <c r="J22" s="84"/>
      <c r="K22" s="84"/>
      <c r="L22" s="84"/>
      <c r="M22" s="84"/>
      <c r="N22" s="84"/>
    </row>
    <row r="23" spans="1:14" ht="90" customHeight="1" x14ac:dyDescent="0.25">
      <c r="A23" s="82" t="s">
        <v>399</v>
      </c>
      <c r="B23" s="82"/>
      <c r="C23" s="82"/>
    </row>
    <row r="24" spans="1:14" ht="75" customHeight="1" x14ac:dyDescent="0.25">
      <c r="A24" s="83" t="s">
        <v>400</v>
      </c>
      <c r="B24" s="83"/>
      <c r="C24" s="83"/>
    </row>
  </sheetData>
  <mergeCells count="16">
    <mergeCell ref="A23:C23"/>
    <mergeCell ref="A24:C24"/>
    <mergeCell ref="A22:N22"/>
    <mergeCell ref="A1:H1"/>
    <mergeCell ref="A4:N4"/>
    <mergeCell ref="A5:N5"/>
    <mergeCell ref="A9:N9"/>
    <mergeCell ref="A10:N10"/>
    <mergeCell ref="A14:N14"/>
    <mergeCell ref="A15:C15"/>
    <mergeCell ref="A16:C16"/>
    <mergeCell ref="A17:C17"/>
    <mergeCell ref="A18:C18"/>
    <mergeCell ref="A19:C19"/>
    <mergeCell ref="A20:C20"/>
    <mergeCell ref="A21:C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A9480-FECE-4D77-AD12-36E3BA69C1AC}">
  <sheetPr codeName="Sheet3"/>
  <dimension ref="A1:P260"/>
  <sheetViews>
    <sheetView workbookViewId="0">
      <selection activeCell="H27" sqref="H27"/>
    </sheetView>
  </sheetViews>
  <sheetFormatPr defaultRowHeight="15" x14ac:dyDescent="0.25"/>
  <cols>
    <col min="1" max="1" width="9.140625" style="4"/>
    <col min="2" max="2" width="32.5703125" style="8" bestFit="1" customWidth="1"/>
    <col min="3" max="3" width="12.28515625" style="8" customWidth="1"/>
    <col min="4" max="4" width="13" style="8" customWidth="1"/>
    <col min="5" max="5" width="38" customWidth="1"/>
    <col min="6" max="6" width="13.5703125" bestFit="1" customWidth="1"/>
    <col min="7" max="7" width="7.5703125" customWidth="1"/>
    <col min="8" max="8" width="50.140625" style="1" bestFit="1" customWidth="1"/>
    <col min="9" max="9" width="7.85546875" customWidth="1"/>
    <col min="11" max="11" width="8.42578125" customWidth="1"/>
    <col min="13" max="13" width="21.5703125" customWidth="1"/>
    <col min="14" max="15" width="8.85546875" customWidth="1"/>
  </cols>
  <sheetData>
    <row r="1" spans="1:16" s="4" customFormat="1" ht="18.75" x14ac:dyDescent="0.3">
      <c r="A1" s="70" t="s">
        <v>402</v>
      </c>
      <c r="B1" s="70"/>
      <c r="C1" s="70"/>
      <c r="D1" s="70"/>
      <c r="E1" s="70"/>
      <c r="F1" s="70"/>
      <c r="G1" s="70"/>
      <c r="H1" s="70"/>
      <c r="I1" s="70"/>
      <c r="J1" s="70"/>
      <c r="K1" s="70"/>
      <c r="L1" s="70"/>
      <c r="M1" s="70"/>
      <c r="N1" s="70"/>
      <c r="O1" s="70"/>
      <c r="P1" s="70"/>
    </row>
    <row r="2" spans="1:16" ht="18.75" x14ac:dyDescent="0.3">
      <c r="A2" s="71" t="s">
        <v>38</v>
      </c>
      <c r="B2" s="71"/>
      <c r="C2" s="71"/>
      <c r="D2" s="71"/>
      <c r="E2" s="71"/>
      <c r="F2" s="71"/>
      <c r="G2" s="71"/>
      <c r="H2" s="71"/>
      <c r="I2" s="71"/>
      <c r="J2" s="71"/>
      <c r="K2" s="71"/>
      <c r="L2" s="71"/>
      <c r="M2" s="71"/>
      <c r="N2" s="71"/>
      <c r="O2" s="71"/>
      <c r="P2" s="71"/>
    </row>
    <row r="3" spans="1:16" ht="15" customHeight="1" x14ac:dyDescent="0.25">
      <c r="A3" s="87" t="s">
        <v>403</v>
      </c>
      <c r="B3" s="88"/>
      <c r="C3" s="88"/>
      <c r="D3" s="88"/>
      <c r="E3" s="88"/>
      <c r="F3" s="88"/>
      <c r="G3" s="88"/>
      <c r="H3" s="88"/>
      <c r="I3" s="88"/>
      <c r="J3" s="88"/>
      <c r="K3" s="88"/>
      <c r="L3" s="88"/>
      <c r="M3" s="88"/>
      <c r="N3" s="88"/>
      <c r="O3" s="88"/>
      <c r="P3" s="88"/>
    </row>
    <row r="4" spans="1:16" x14ac:dyDescent="0.25">
      <c r="A4" s="89" t="s">
        <v>39</v>
      </c>
      <c r="B4" s="90"/>
      <c r="C4" s="90"/>
      <c r="D4" s="90"/>
      <c r="E4" s="90"/>
      <c r="F4" s="90"/>
      <c r="G4" s="90"/>
      <c r="H4" s="90"/>
      <c r="I4" s="90"/>
      <c r="J4" s="90"/>
      <c r="K4" s="90"/>
      <c r="L4" s="90"/>
      <c r="M4" s="90"/>
      <c r="N4" s="90"/>
      <c r="O4" s="90"/>
      <c r="P4" s="90"/>
    </row>
    <row r="5" spans="1:16" x14ac:dyDescent="0.25">
      <c r="A5" s="89" t="s">
        <v>404</v>
      </c>
      <c r="B5" s="90"/>
      <c r="C5" s="90"/>
      <c r="D5" s="90"/>
      <c r="E5" s="90"/>
      <c r="F5" s="90"/>
      <c r="G5" s="90"/>
      <c r="H5" s="90"/>
      <c r="I5" s="90"/>
      <c r="J5" s="90"/>
      <c r="K5" s="90"/>
      <c r="L5" s="90"/>
      <c r="M5" s="90"/>
      <c r="N5" s="90"/>
      <c r="O5" s="90"/>
      <c r="P5" s="90"/>
    </row>
    <row r="6" spans="1:16" x14ac:dyDescent="0.25">
      <c r="A6" s="73" t="s">
        <v>39</v>
      </c>
      <c r="B6" s="73"/>
      <c r="C6" s="73"/>
      <c r="D6" s="73"/>
      <c r="E6" s="73"/>
      <c r="F6" s="73"/>
      <c r="G6" s="73"/>
      <c r="H6" s="73"/>
      <c r="I6" s="73"/>
      <c r="J6" s="73"/>
      <c r="K6" s="73"/>
      <c r="L6" s="73"/>
      <c r="M6" s="73"/>
      <c r="N6" s="73"/>
    </row>
    <row r="7" spans="1:16" ht="18.75" x14ac:dyDescent="0.3">
      <c r="A7" s="86" t="s">
        <v>40</v>
      </c>
      <c r="B7" s="68"/>
      <c r="C7" s="68"/>
      <c r="D7" s="68"/>
      <c r="E7" s="68"/>
      <c r="F7" s="68"/>
      <c r="G7" s="68"/>
      <c r="H7" s="68"/>
      <c r="I7" s="68"/>
      <c r="J7" s="68"/>
      <c r="K7" s="68"/>
      <c r="L7" s="68"/>
      <c r="M7" s="68"/>
      <c r="N7" s="68"/>
      <c r="O7" s="68"/>
      <c r="P7" s="68"/>
    </row>
    <row r="8" spans="1:16" ht="90" x14ac:dyDescent="0.25">
      <c r="A8" s="5" t="s">
        <v>41</v>
      </c>
      <c r="B8" s="5" t="s">
        <v>42</v>
      </c>
      <c r="C8" s="5" t="s">
        <v>43</v>
      </c>
      <c r="D8" s="5" t="s">
        <v>44</v>
      </c>
      <c r="E8" s="5" t="s">
        <v>46</v>
      </c>
      <c r="F8" s="5" t="s">
        <v>47</v>
      </c>
      <c r="G8" s="5" t="s">
        <v>48</v>
      </c>
      <c r="H8" s="5" t="s">
        <v>405</v>
      </c>
      <c r="I8" s="5" t="s">
        <v>51</v>
      </c>
      <c r="J8" s="5" t="s">
        <v>52</v>
      </c>
      <c r="K8" s="5" t="s">
        <v>53</v>
      </c>
      <c r="L8" s="5" t="s">
        <v>54</v>
      </c>
      <c r="M8" s="9" t="s">
        <v>55</v>
      </c>
      <c r="N8" s="9" t="s">
        <v>56</v>
      </c>
      <c r="O8" s="5" t="s">
        <v>406</v>
      </c>
      <c r="P8" s="5" t="s">
        <v>407</v>
      </c>
    </row>
    <row r="9" spans="1:16" x14ac:dyDescent="0.25">
      <c r="A9" s="17">
        <v>1</v>
      </c>
      <c r="B9" s="2"/>
      <c r="C9" s="2"/>
      <c r="D9" s="2"/>
      <c r="E9" s="2" t="s">
        <v>408</v>
      </c>
      <c r="F9" s="2" t="s">
        <v>59</v>
      </c>
      <c r="G9" s="12" t="s">
        <v>60</v>
      </c>
      <c r="H9" s="2" t="s">
        <v>409</v>
      </c>
      <c r="I9" s="12" t="s">
        <v>62</v>
      </c>
      <c r="J9" s="2"/>
      <c r="K9" s="2"/>
      <c r="L9" s="2"/>
      <c r="M9" s="2"/>
      <c r="N9" s="21" t="s">
        <v>62</v>
      </c>
      <c r="O9" s="21" t="s">
        <v>60</v>
      </c>
      <c r="P9" s="21" t="s">
        <v>62</v>
      </c>
    </row>
    <row r="10" spans="1:16" x14ac:dyDescent="0.25">
      <c r="A10" s="17">
        <f>A9+1</f>
        <v>2</v>
      </c>
      <c r="B10" s="2"/>
      <c r="C10" s="2"/>
      <c r="D10" s="2"/>
      <c r="E10" s="2" t="s">
        <v>410</v>
      </c>
      <c r="F10" s="2" t="s">
        <v>411</v>
      </c>
      <c r="G10" s="22" t="s">
        <v>62</v>
      </c>
      <c r="H10" s="2" t="s">
        <v>412</v>
      </c>
      <c r="I10" s="2"/>
      <c r="J10" s="2"/>
      <c r="K10" s="2"/>
      <c r="L10" s="2"/>
      <c r="M10" s="2"/>
      <c r="N10" s="21" t="s">
        <v>62</v>
      </c>
      <c r="O10" s="20" t="s">
        <v>60</v>
      </c>
      <c r="P10" s="21" t="s">
        <v>62</v>
      </c>
    </row>
    <row r="11" spans="1:16" x14ac:dyDescent="0.25">
      <c r="A11" s="17">
        <f t="shared" ref="A11:A74" si="0">A10+1</f>
        <v>3</v>
      </c>
      <c r="B11" s="2"/>
      <c r="C11" s="2"/>
      <c r="D11" s="2"/>
      <c r="E11" s="2" t="s">
        <v>413</v>
      </c>
      <c r="F11" s="2" t="s">
        <v>411</v>
      </c>
      <c r="G11" s="22" t="s">
        <v>62</v>
      </c>
      <c r="H11" s="2" t="s">
        <v>414</v>
      </c>
      <c r="I11" s="2"/>
      <c r="J11" s="2"/>
      <c r="K11" s="2"/>
      <c r="L11" s="2"/>
      <c r="M11" s="2"/>
      <c r="N11" s="21" t="s">
        <v>62</v>
      </c>
      <c r="O11" s="20" t="s">
        <v>60</v>
      </c>
      <c r="P11" s="21" t="s">
        <v>60</v>
      </c>
    </row>
    <row r="12" spans="1:16" x14ac:dyDescent="0.25">
      <c r="A12" s="17">
        <f t="shared" si="0"/>
        <v>4</v>
      </c>
      <c r="B12" s="2"/>
      <c r="C12" s="2"/>
      <c r="D12" s="2"/>
      <c r="E12" s="2" t="s">
        <v>415</v>
      </c>
      <c r="F12" s="2" t="s">
        <v>416</v>
      </c>
      <c r="G12" s="22" t="s">
        <v>62</v>
      </c>
      <c r="H12" s="2" t="s">
        <v>417</v>
      </c>
      <c r="I12" s="2"/>
      <c r="J12" s="2"/>
      <c r="K12" s="2"/>
      <c r="L12" s="2"/>
      <c r="M12" s="2"/>
      <c r="N12" s="21" t="s">
        <v>62</v>
      </c>
      <c r="O12" s="20" t="s">
        <v>60</v>
      </c>
      <c r="P12" s="21" t="s">
        <v>60</v>
      </c>
    </row>
    <row r="13" spans="1:16" x14ac:dyDescent="0.25">
      <c r="A13" s="17">
        <f t="shared" si="0"/>
        <v>5</v>
      </c>
      <c r="B13" s="2"/>
      <c r="C13" s="2"/>
      <c r="D13" s="2"/>
      <c r="E13" s="2" t="s">
        <v>418</v>
      </c>
      <c r="F13" s="2" t="s">
        <v>419</v>
      </c>
      <c r="G13" s="22" t="s">
        <v>62</v>
      </c>
      <c r="H13" s="2" t="s">
        <v>420</v>
      </c>
      <c r="I13" s="2"/>
      <c r="J13" s="2"/>
      <c r="K13" s="2"/>
      <c r="L13" s="2"/>
      <c r="M13" s="2"/>
      <c r="N13" s="21" t="s">
        <v>62</v>
      </c>
      <c r="O13" s="20" t="s">
        <v>60</v>
      </c>
      <c r="P13" s="21" t="s">
        <v>62</v>
      </c>
    </row>
    <row r="14" spans="1:16" x14ac:dyDescent="0.25">
      <c r="A14" s="17">
        <f t="shared" si="0"/>
        <v>6</v>
      </c>
      <c r="B14" s="2"/>
      <c r="C14" s="2"/>
      <c r="D14" s="2"/>
      <c r="E14" s="2" t="s">
        <v>421</v>
      </c>
      <c r="F14" s="2" t="s">
        <v>416</v>
      </c>
      <c r="G14" s="22" t="s">
        <v>62</v>
      </c>
      <c r="H14" s="2" t="s">
        <v>422</v>
      </c>
      <c r="I14" s="2"/>
      <c r="J14" s="2"/>
      <c r="K14" s="2"/>
      <c r="L14" s="2"/>
      <c r="M14" s="2"/>
      <c r="N14" s="21" t="s">
        <v>62</v>
      </c>
      <c r="O14" s="20" t="s">
        <v>60</v>
      </c>
      <c r="P14" s="21" t="s">
        <v>60</v>
      </c>
    </row>
    <row r="15" spans="1:16" x14ac:dyDescent="0.25">
      <c r="A15" s="17">
        <f t="shared" si="0"/>
        <v>7</v>
      </c>
      <c r="B15" s="2"/>
      <c r="C15" s="2"/>
      <c r="D15" s="2"/>
      <c r="E15" s="2" t="s">
        <v>423</v>
      </c>
      <c r="F15" s="2" t="s">
        <v>419</v>
      </c>
      <c r="G15" s="22" t="s">
        <v>62</v>
      </c>
      <c r="H15" s="2" t="s">
        <v>424</v>
      </c>
      <c r="I15" s="2"/>
      <c r="J15" s="2"/>
      <c r="K15" s="2"/>
      <c r="L15" s="2"/>
      <c r="M15" s="2"/>
      <c r="N15" s="21" t="s">
        <v>62</v>
      </c>
      <c r="O15" s="20" t="s">
        <v>60</v>
      </c>
      <c r="P15" s="21" t="s">
        <v>62</v>
      </c>
    </row>
    <row r="16" spans="1:16" x14ac:dyDescent="0.25">
      <c r="A16" s="17">
        <f t="shared" si="0"/>
        <v>8</v>
      </c>
      <c r="B16" s="2"/>
      <c r="C16" s="2"/>
      <c r="D16" s="2"/>
      <c r="E16" s="2" t="s">
        <v>425</v>
      </c>
      <c r="F16" s="2" t="s">
        <v>426</v>
      </c>
      <c r="G16" s="22" t="s">
        <v>62</v>
      </c>
      <c r="H16" s="2" t="s">
        <v>427</v>
      </c>
      <c r="I16" s="2"/>
      <c r="J16" s="2"/>
      <c r="K16" s="2"/>
      <c r="L16" s="2"/>
      <c r="M16" s="2"/>
      <c r="N16" s="21" t="s">
        <v>62</v>
      </c>
      <c r="O16" s="20" t="s">
        <v>60</v>
      </c>
      <c r="P16" s="21" t="s">
        <v>62</v>
      </c>
    </row>
    <row r="17" spans="1:16" x14ac:dyDescent="0.25">
      <c r="A17" s="17">
        <f t="shared" si="0"/>
        <v>9</v>
      </c>
      <c r="B17" s="2"/>
      <c r="C17" s="2"/>
      <c r="D17" s="2"/>
      <c r="E17" s="2" t="s">
        <v>428</v>
      </c>
      <c r="F17" s="2" t="s">
        <v>419</v>
      </c>
      <c r="G17" s="22" t="s">
        <v>62</v>
      </c>
      <c r="H17" s="2" t="s">
        <v>429</v>
      </c>
      <c r="I17" s="2"/>
      <c r="J17" s="2"/>
      <c r="K17" s="2"/>
      <c r="L17" s="2"/>
      <c r="M17" s="2"/>
      <c r="N17" s="21" t="s">
        <v>62</v>
      </c>
      <c r="O17" s="20" t="s">
        <v>62</v>
      </c>
      <c r="P17" s="21" t="s">
        <v>60</v>
      </c>
    </row>
    <row r="18" spans="1:16" x14ac:dyDescent="0.25">
      <c r="A18" s="17">
        <f t="shared" si="0"/>
        <v>10</v>
      </c>
      <c r="B18" s="2"/>
      <c r="C18" s="2"/>
      <c r="D18" s="2"/>
      <c r="E18" s="2" t="s">
        <v>430</v>
      </c>
      <c r="F18" s="2" t="s">
        <v>411</v>
      </c>
      <c r="G18" s="22" t="s">
        <v>62</v>
      </c>
      <c r="H18" s="2" t="s">
        <v>431</v>
      </c>
      <c r="I18" s="2"/>
      <c r="J18" s="2"/>
      <c r="K18" s="2"/>
      <c r="L18" s="2"/>
      <c r="M18" s="2"/>
      <c r="N18" s="21" t="s">
        <v>62</v>
      </c>
      <c r="O18" s="20" t="s">
        <v>62</v>
      </c>
      <c r="P18" s="21" t="s">
        <v>60</v>
      </c>
    </row>
    <row r="19" spans="1:16" x14ac:dyDescent="0.25">
      <c r="A19" s="17">
        <f t="shared" si="0"/>
        <v>11</v>
      </c>
      <c r="B19" s="2" t="s">
        <v>432</v>
      </c>
      <c r="C19" s="2"/>
      <c r="D19" s="2"/>
      <c r="E19" s="2" t="s">
        <v>433</v>
      </c>
      <c r="F19" s="2" t="s">
        <v>419</v>
      </c>
      <c r="G19" s="22" t="s">
        <v>62</v>
      </c>
      <c r="H19" s="2" t="s">
        <v>434</v>
      </c>
      <c r="I19" s="2"/>
      <c r="J19" s="2"/>
      <c r="K19" s="2"/>
      <c r="L19" s="2"/>
      <c r="M19" s="2"/>
      <c r="N19" s="21" t="s">
        <v>62</v>
      </c>
      <c r="O19" s="20" t="s">
        <v>62</v>
      </c>
      <c r="P19" s="21" t="s">
        <v>60</v>
      </c>
    </row>
    <row r="20" spans="1:16" x14ac:dyDescent="0.25">
      <c r="A20" s="17">
        <f t="shared" si="0"/>
        <v>12</v>
      </c>
      <c r="B20" s="2"/>
      <c r="C20" s="2"/>
      <c r="D20" s="2"/>
      <c r="E20" s="2" t="s">
        <v>435</v>
      </c>
      <c r="F20" s="2" t="s">
        <v>436</v>
      </c>
      <c r="G20" s="22" t="s">
        <v>62</v>
      </c>
      <c r="H20" s="2" t="s">
        <v>437</v>
      </c>
      <c r="I20" s="2"/>
      <c r="J20" s="2"/>
      <c r="K20" s="2"/>
      <c r="L20" s="2"/>
      <c r="M20" s="2"/>
      <c r="N20" s="21" t="s">
        <v>62</v>
      </c>
      <c r="O20" s="20" t="s">
        <v>60</v>
      </c>
      <c r="P20" s="21" t="s">
        <v>62</v>
      </c>
    </row>
    <row r="21" spans="1:16" x14ac:dyDescent="0.25">
      <c r="A21" s="17">
        <f t="shared" si="0"/>
        <v>13</v>
      </c>
      <c r="B21" s="2"/>
      <c r="C21" s="2"/>
      <c r="D21" s="2"/>
      <c r="E21" s="2" t="s">
        <v>438</v>
      </c>
      <c r="F21" s="2" t="s">
        <v>416</v>
      </c>
      <c r="G21" s="22" t="s">
        <v>62</v>
      </c>
      <c r="H21" s="2" t="s">
        <v>439</v>
      </c>
      <c r="I21" s="2"/>
      <c r="J21" s="2"/>
      <c r="K21" s="2"/>
      <c r="L21" s="2"/>
      <c r="M21" s="2"/>
      <c r="N21" s="21" t="s">
        <v>62</v>
      </c>
      <c r="O21" s="20" t="s">
        <v>60</v>
      </c>
      <c r="P21" s="21" t="s">
        <v>62</v>
      </c>
    </row>
    <row r="22" spans="1:16" x14ac:dyDescent="0.25">
      <c r="A22" s="17">
        <f t="shared" si="0"/>
        <v>14</v>
      </c>
      <c r="B22" s="2"/>
      <c r="C22" s="2"/>
      <c r="D22" s="2"/>
      <c r="E22" s="2" t="s">
        <v>440</v>
      </c>
      <c r="F22" s="2" t="s">
        <v>419</v>
      </c>
      <c r="G22" s="22" t="s">
        <v>62</v>
      </c>
      <c r="H22" s="2" t="s">
        <v>441</v>
      </c>
      <c r="I22" s="2"/>
      <c r="J22" s="2"/>
      <c r="K22" s="2"/>
      <c r="L22" s="2"/>
      <c r="M22" s="2"/>
      <c r="N22" s="21" t="s">
        <v>62</v>
      </c>
      <c r="O22" s="20" t="s">
        <v>60</v>
      </c>
      <c r="P22" s="21" t="s">
        <v>62</v>
      </c>
    </row>
    <row r="23" spans="1:16" x14ac:dyDescent="0.25">
      <c r="A23" s="17">
        <f t="shared" si="0"/>
        <v>15</v>
      </c>
      <c r="B23" s="2"/>
      <c r="C23" s="2"/>
      <c r="D23" s="2"/>
      <c r="E23" s="2" t="s">
        <v>442</v>
      </c>
      <c r="F23" s="2" t="s">
        <v>416</v>
      </c>
      <c r="G23" s="22" t="s">
        <v>62</v>
      </c>
      <c r="H23" s="2" t="s">
        <v>443</v>
      </c>
      <c r="I23" s="2"/>
      <c r="J23" s="2"/>
      <c r="K23" s="2"/>
      <c r="L23" s="2"/>
      <c r="M23" s="2"/>
      <c r="N23" s="21" t="s">
        <v>62</v>
      </c>
      <c r="O23" s="20" t="s">
        <v>60</v>
      </c>
      <c r="P23" s="21" t="s">
        <v>62</v>
      </c>
    </row>
    <row r="24" spans="1:16" x14ac:dyDescent="0.25">
      <c r="A24" s="17">
        <f t="shared" si="0"/>
        <v>16</v>
      </c>
      <c r="B24" s="2"/>
      <c r="C24" s="2"/>
      <c r="D24" s="2"/>
      <c r="E24" s="2" t="s">
        <v>444</v>
      </c>
      <c r="F24" s="2" t="s">
        <v>411</v>
      </c>
      <c r="G24" s="22" t="s">
        <v>62</v>
      </c>
      <c r="H24" s="2" t="s">
        <v>445</v>
      </c>
      <c r="I24" s="2"/>
      <c r="J24" s="2"/>
      <c r="K24" s="2"/>
      <c r="L24" s="2"/>
      <c r="M24" s="2"/>
      <c r="N24" s="21" t="s">
        <v>62</v>
      </c>
      <c r="O24" s="20" t="s">
        <v>60</v>
      </c>
      <c r="P24" s="21" t="s">
        <v>62</v>
      </c>
    </row>
    <row r="25" spans="1:16" x14ac:dyDescent="0.25">
      <c r="A25" s="17">
        <f t="shared" si="0"/>
        <v>17</v>
      </c>
      <c r="B25" s="2"/>
      <c r="C25" s="2"/>
      <c r="D25" s="2"/>
      <c r="E25" s="2" t="s">
        <v>446</v>
      </c>
      <c r="F25" s="2" t="s">
        <v>419</v>
      </c>
      <c r="G25" s="22" t="s">
        <v>62</v>
      </c>
      <c r="H25" s="2" t="s">
        <v>447</v>
      </c>
      <c r="I25" s="2"/>
      <c r="J25" s="2"/>
      <c r="K25" s="2"/>
      <c r="L25" s="2"/>
      <c r="M25" s="2"/>
      <c r="N25" s="21" t="s">
        <v>62</v>
      </c>
      <c r="O25" s="20" t="s">
        <v>60</v>
      </c>
      <c r="P25" s="21" t="s">
        <v>60</v>
      </c>
    </row>
    <row r="26" spans="1:16" x14ac:dyDescent="0.25">
      <c r="A26" s="17">
        <f t="shared" si="0"/>
        <v>18</v>
      </c>
      <c r="B26" s="2"/>
      <c r="C26" s="2"/>
      <c r="D26" s="2"/>
      <c r="E26" s="2" t="s">
        <v>448</v>
      </c>
      <c r="F26" s="2" t="s">
        <v>426</v>
      </c>
      <c r="G26" s="22" t="s">
        <v>62</v>
      </c>
      <c r="H26" s="2" t="s">
        <v>449</v>
      </c>
      <c r="I26" s="2"/>
      <c r="J26" s="2"/>
      <c r="K26" s="2"/>
      <c r="L26" s="2"/>
      <c r="M26" s="2"/>
      <c r="N26" s="21" t="s">
        <v>62</v>
      </c>
      <c r="O26" s="20" t="s">
        <v>60</v>
      </c>
      <c r="P26" s="21" t="s">
        <v>60</v>
      </c>
    </row>
    <row r="27" spans="1:16" x14ac:dyDescent="0.25">
      <c r="A27" s="17">
        <f t="shared" si="0"/>
        <v>19</v>
      </c>
      <c r="B27" s="2"/>
      <c r="C27" s="2"/>
      <c r="D27" s="2"/>
      <c r="E27" s="2" t="s">
        <v>450</v>
      </c>
      <c r="F27" s="2" t="s">
        <v>451</v>
      </c>
      <c r="G27" s="22" t="s">
        <v>62</v>
      </c>
      <c r="H27" s="2" t="s">
        <v>452</v>
      </c>
      <c r="I27" s="2"/>
      <c r="J27" s="2"/>
      <c r="K27" s="2"/>
      <c r="L27" s="2"/>
      <c r="M27" s="2"/>
      <c r="N27" s="21" t="s">
        <v>62</v>
      </c>
      <c r="O27" s="20" t="s">
        <v>60</v>
      </c>
      <c r="P27" s="21" t="s">
        <v>60</v>
      </c>
    </row>
    <row r="28" spans="1:16" x14ac:dyDescent="0.25">
      <c r="A28" s="17">
        <f t="shared" si="0"/>
        <v>20</v>
      </c>
      <c r="B28" s="2"/>
      <c r="C28" s="2"/>
      <c r="D28" s="2"/>
      <c r="E28" s="2" t="s">
        <v>453</v>
      </c>
      <c r="F28" s="2" t="s">
        <v>426</v>
      </c>
      <c r="G28" s="22" t="s">
        <v>62</v>
      </c>
      <c r="H28" s="2" t="s">
        <v>454</v>
      </c>
      <c r="I28" s="2"/>
      <c r="J28" s="2"/>
      <c r="K28" s="2"/>
      <c r="L28" s="2"/>
      <c r="M28" s="2"/>
      <c r="N28" s="21" t="s">
        <v>62</v>
      </c>
      <c r="O28" s="20" t="s">
        <v>60</v>
      </c>
      <c r="P28" s="21" t="s">
        <v>62</v>
      </c>
    </row>
    <row r="29" spans="1:16" x14ac:dyDescent="0.25">
      <c r="A29" s="17">
        <f t="shared" si="0"/>
        <v>21</v>
      </c>
      <c r="B29" s="2"/>
      <c r="C29" s="2"/>
      <c r="D29" s="2"/>
      <c r="E29" s="2" t="s">
        <v>455</v>
      </c>
      <c r="F29" s="2" t="s">
        <v>411</v>
      </c>
      <c r="G29" s="22" t="s">
        <v>62</v>
      </c>
      <c r="H29" s="2" t="s">
        <v>456</v>
      </c>
      <c r="I29" s="2"/>
      <c r="J29" s="2"/>
      <c r="K29" s="2"/>
      <c r="L29" s="2"/>
      <c r="M29" s="2"/>
      <c r="N29" s="21" t="s">
        <v>62</v>
      </c>
      <c r="O29" s="20" t="s">
        <v>60</v>
      </c>
      <c r="P29" s="21" t="s">
        <v>60</v>
      </c>
    </row>
    <row r="30" spans="1:16" x14ac:dyDescent="0.25">
      <c r="A30" s="17">
        <f t="shared" si="0"/>
        <v>22</v>
      </c>
      <c r="B30" s="2"/>
      <c r="C30" s="2"/>
      <c r="D30" s="2"/>
      <c r="E30" s="2" t="s">
        <v>63</v>
      </c>
      <c r="F30" s="2" t="s">
        <v>436</v>
      </c>
      <c r="G30" s="22" t="s">
        <v>62</v>
      </c>
      <c r="H30" s="2" t="s">
        <v>457</v>
      </c>
      <c r="I30" s="2"/>
      <c r="J30" s="2"/>
      <c r="K30" s="2"/>
      <c r="L30" s="2"/>
      <c r="M30" s="2"/>
      <c r="N30" s="21" t="s">
        <v>62</v>
      </c>
      <c r="O30" s="20" t="s">
        <v>60</v>
      </c>
      <c r="P30" s="21" t="s">
        <v>60</v>
      </c>
    </row>
    <row r="31" spans="1:16" x14ac:dyDescent="0.25">
      <c r="A31" s="17">
        <f t="shared" si="0"/>
        <v>23</v>
      </c>
      <c r="B31" s="2" t="s">
        <v>432</v>
      </c>
      <c r="C31" s="2"/>
      <c r="D31" s="2"/>
      <c r="E31" s="2" t="s">
        <v>458</v>
      </c>
      <c r="F31" s="2" t="s">
        <v>459</v>
      </c>
      <c r="G31" s="22" t="s">
        <v>62</v>
      </c>
      <c r="H31" s="2" t="s">
        <v>460</v>
      </c>
      <c r="I31" s="2"/>
      <c r="J31" s="2"/>
      <c r="K31" s="2"/>
      <c r="L31" s="2"/>
      <c r="M31" s="2"/>
      <c r="N31" s="21" t="s">
        <v>62</v>
      </c>
      <c r="O31" s="20" t="s">
        <v>62</v>
      </c>
      <c r="P31" s="21" t="s">
        <v>60</v>
      </c>
    </row>
    <row r="32" spans="1:16" x14ac:dyDescent="0.25">
      <c r="A32" s="17">
        <f t="shared" si="0"/>
        <v>24</v>
      </c>
      <c r="B32" s="2" t="s">
        <v>432</v>
      </c>
      <c r="C32" s="2"/>
      <c r="D32" s="2"/>
      <c r="E32" s="2" t="s">
        <v>461</v>
      </c>
      <c r="F32" s="2" t="s">
        <v>426</v>
      </c>
      <c r="G32" s="22" t="s">
        <v>62</v>
      </c>
      <c r="H32" s="2" t="s">
        <v>462</v>
      </c>
      <c r="I32" s="2"/>
      <c r="J32" s="2"/>
      <c r="K32" s="2"/>
      <c r="L32" s="2"/>
      <c r="M32" s="2"/>
      <c r="N32" s="21" t="s">
        <v>62</v>
      </c>
      <c r="O32" s="20" t="s">
        <v>62</v>
      </c>
      <c r="P32" s="21" t="s">
        <v>60</v>
      </c>
    </row>
    <row r="33" spans="1:16" x14ac:dyDescent="0.25">
      <c r="A33" s="17">
        <f t="shared" si="0"/>
        <v>25</v>
      </c>
      <c r="B33" s="2" t="s">
        <v>463</v>
      </c>
      <c r="C33" s="2"/>
      <c r="D33" s="2"/>
      <c r="E33" s="2" t="s">
        <v>464</v>
      </c>
      <c r="F33" s="2" t="s">
        <v>436</v>
      </c>
      <c r="G33" s="22" t="s">
        <v>62</v>
      </c>
      <c r="H33" s="2" t="s">
        <v>465</v>
      </c>
      <c r="I33" s="2"/>
      <c r="J33" s="2"/>
      <c r="K33" s="2"/>
      <c r="L33" s="2"/>
      <c r="M33" s="2"/>
      <c r="N33" s="21" t="s">
        <v>62</v>
      </c>
      <c r="O33" s="20" t="s">
        <v>62</v>
      </c>
      <c r="P33" s="21" t="s">
        <v>60</v>
      </c>
    </row>
    <row r="34" spans="1:16" x14ac:dyDescent="0.25">
      <c r="A34" s="17">
        <f t="shared" si="0"/>
        <v>26</v>
      </c>
      <c r="B34" s="2" t="s">
        <v>463</v>
      </c>
      <c r="C34" s="2"/>
      <c r="D34" s="2"/>
      <c r="E34" s="2" t="s">
        <v>466</v>
      </c>
      <c r="F34" s="2" t="s">
        <v>426</v>
      </c>
      <c r="G34" s="22" t="s">
        <v>62</v>
      </c>
      <c r="H34" s="2" t="s">
        <v>467</v>
      </c>
      <c r="I34" s="2"/>
      <c r="J34" s="2"/>
      <c r="K34" s="2"/>
      <c r="L34" s="2"/>
      <c r="M34" s="2"/>
      <c r="N34" s="21" t="s">
        <v>62</v>
      </c>
      <c r="O34" s="20" t="s">
        <v>62</v>
      </c>
      <c r="P34" s="21" t="s">
        <v>60</v>
      </c>
    </row>
    <row r="35" spans="1:16" x14ac:dyDescent="0.25">
      <c r="A35" s="17">
        <f t="shared" si="0"/>
        <v>27</v>
      </c>
      <c r="B35" s="2" t="s">
        <v>463</v>
      </c>
      <c r="C35" s="2"/>
      <c r="D35" s="2"/>
      <c r="E35" s="2" t="s">
        <v>468</v>
      </c>
      <c r="F35" s="2" t="s">
        <v>426</v>
      </c>
      <c r="G35" s="22" t="s">
        <v>62</v>
      </c>
      <c r="H35" s="2" t="s">
        <v>469</v>
      </c>
      <c r="I35" s="2"/>
      <c r="J35" s="2"/>
      <c r="K35" s="2"/>
      <c r="L35" s="2"/>
      <c r="M35" s="2"/>
      <c r="N35" s="21" t="s">
        <v>62</v>
      </c>
      <c r="O35" s="20" t="s">
        <v>62</v>
      </c>
      <c r="P35" s="21" t="s">
        <v>60</v>
      </c>
    </row>
    <row r="36" spans="1:16" x14ac:dyDescent="0.25">
      <c r="A36" s="17">
        <f t="shared" si="0"/>
        <v>28</v>
      </c>
      <c r="B36" s="2" t="s">
        <v>463</v>
      </c>
      <c r="C36" s="2"/>
      <c r="D36" s="2"/>
      <c r="E36" s="2" t="s">
        <v>470</v>
      </c>
      <c r="F36" s="2" t="s">
        <v>451</v>
      </c>
      <c r="G36" s="22" t="s">
        <v>62</v>
      </c>
      <c r="H36" s="2" t="s">
        <v>471</v>
      </c>
      <c r="I36" s="2"/>
      <c r="J36" s="2"/>
      <c r="K36" s="2"/>
      <c r="L36" s="2"/>
      <c r="M36" s="2"/>
      <c r="N36" s="21" t="s">
        <v>62</v>
      </c>
      <c r="O36" s="20" t="s">
        <v>62</v>
      </c>
      <c r="P36" s="21" t="s">
        <v>60</v>
      </c>
    </row>
    <row r="37" spans="1:16" x14ac:dyDescent="0.25">
      <c r="A37" s="17">
        <f t="shared" si="0"/>
        <v>29</v>
      </c>
      <c r="B37" s="2" t="s">
        <v>463</v>
      </c>
      <c r="C37" s="2"/>
      <c r="D37" s="2"/>
      <c r="E37" s="2" t="s">
        <v>472</v>
      </c>
      <c r="F37" s="2" t="s">
        <v>436</v>
      </c>
      <c r="G37" s="22" t="s">
        <v>62</v>
      </c>
      <c r="H37" s="2" t="s">
        <v>473</v>
      </c>
      <c r="I37" s="2"/>
      <c r="J37" s="2"/>
      <c r="K37" s="2"/>
      <c r="L37" s="2"/>
      <c r="M37" s="2"/>
      <c r="N37" s="21" t="s">
        <v>62</v>
      </c>
      <c r="O37" s="20" t="s">
        <v>62</v>
      </c>
      <c r="P37" s="21" t="s">
        <v>60</v>
      </c>
    </row>
    <row r="38" spans="1:16" x14ac:dyDescent="0.25">
      <c r="A38" s="17">
        <f t="shared" si="0"/>
        <v>30</v>
      </c>
      <c r="B38" s="2" t="s">
        <v>463</v>
      </c>
      <c r="C38" s="2"/>
      <c r="D38" s="2"/>
      <c r="E38" s="2" t="s">
        <v>474</v>
      </c>
      <c r="F38" s="2" t="s">
        <v>436</v>
      </c>
      <c r="G38" s="22" t="s">
        <v>62</v>
      </c>
      <c r="H38" s="2" t="s">
        <v>475</v>
      </c>
      <c r="I38" s="2"/>
      <c r="J38" s="2"/>
      <c r="K38" s="2"/>
      <c r="L38" s="2"/>
      <c r="M38" s="2"/>
      <c r="N38" s="21" t="s">
        <v>62</v>
      </c>
      <c r="O38" s="20" t="s">
        <v>62</v>
      </c>
      <c r="P38" s="21" t="s">
        <v>60</v>
      </c>
    </row>
    <row r="39" spans="1:16" x14ac:dyDescent="0.25">
      <c r="A39" s="17">
        <f t="shared" si="0"/>
        <v>31</v>
      </c>
      <c r="B39" s="2" t="s">
        <v>463</v>
      </c>
      <c r="C39" s="2"/>
      <c r="D39" s="2"/>
      <c r="E39" s="2" t="s">
        <v>476</v>
      </c>
      <c r="F39" s="2" t="s">
        <v>419</v>
      </c>
      <c r="G39" s="22" t="s">
        <v>62</v>
      </c>
      <c r="H39" s="2" t="s">
        <v>477</v>
      </c>
      <c r="I39" s="2"/>
      <c r="J39" s="2"/>
      <c r="K39" s="2"/>
      <c r="L39" s="2"/>
      <c r="M39" s="2"/>
      <c r="N39" s="21" t="s">
        <v>62</v>
      </c>
      <c r="O39" s="20" t="s">
        <v>62</v>
      </c>
      <c r="P39" s="21" t="s">
        <v>60</v>
      </c>
    </row>
    <row r="40" spans="1:16" x14ac:dyDescent="0.25">
      <c r="A40" s="17">
        <f t="shared" si="0"/>
        <v>32</v>
      </c>
      <c r="B40" s="2"/>
      <c r="C40" s="2"/>
      <c r="D40" s="2"/>
      <c r="E40" s="2" t="s">
        <v>463</v>
      </c>
      <c r="F40" s="2" t="s">
        <v>416</v>
      </c>
      <c r="G40" s="22" t="s">
        <v>62</v>
      </c>
      <c r="H40" s="2" t="s">
        <v>478</v>
      </c>
      <c r="I40" s="2"/>
      <c r="J40" s="2"/>
      <c r="K40" s="2"/>
      <c r="L40" s="2"/>
      <c r="M40" s="2"/>
      <c r="N40" s="21" t="s">
        <v>62</v>
      </c>
      <c r="O40" s="20" t="s">
        <v>62</v>
      </c>
      <c r="P40" s="21" t="s">
        <v>60</v>
      </c>
    </row>
    <row r="41" spans="1:16" x14ac:dyDescent="0.25">
      <c r="A41" s="17">
        <f t="shared" si="0"/>
        <v>33</v>
      </c>
      <c r="B41" s="2" t="s">
        <v>463</v>
      </c>
      <c r="C41" s="2"/>
      <c r="D41" s="2"/>
      <c r="E41" s="2" t="s">
        <v>479</v>
      </c>
      <c r="F41" s="2" t="s">
        <v>459</v>
      </c>
      <c r="G41" s="22" t="s">
        <v>62</v>
      </c>
      <c r="H41" s="2" t="s">
        <v>480</v>
      </c>
      <c r="I41" s="2"/>
      <c r="J41" s="2"/>
      <c r="K41" s="2"/>
      <c r="L41" s="2"/>
      <c r="M41" s="2"/>
      <c r="N41" s="21" t="s">
        <v>62</v>
      </c>
      <c r="O41" s="20" t="s">
        <v>62</v>
      </c>
      <c r="P41" s="21" t="s">
        <v>60</v>
      </c>
    </row>
    <row r="42" spans="1:16" x14ac:dyDescent="0.25">
      <c r="A42" s="17">
        <f t="shared" si="0"/>
        <v>34</v>
      </c>
      <c r="B42" s="2" t="s">
        <v>463</v>
      </c>
      <c r="C42" s="2"/>
      <c r="D42" s="2"/>
      <c r="E42" s="2" t="s">
        <v>481</v>
      </c>
      <c r="F42" s="2" t="s">
        <v>419</v>
      </c>
      <c r="G42" s="22" t="s">
        <v>62</v>
      </c>
      <c r="H42" s="2" t="s">
        <v>482</v>
      </c>
      <c r="I42" s="2"/>
      <c r="J42" s="2"/>
      <c r="K42" s="2"/>
      <c r="L42" s="2"/>
      <c r="M42" s="2"/>
      <c r="N42" s="21" t="s">
        <v>62</v>
      </c>
      <c r="O42" s="20" t="s">
        <v>62</v>
      </c>
      <c r="P42" s="21" t="s">
        <v>60</v>
      </c>
    </row>
    <row r="43" spans="1:16" x14ac:dyDescent="0.25">
      <c r="A43" s="17">
        <f t="shared" si="0"/>
        <v>35</v>
      </c>
      <c r="B43" s="2" t="s">
        <v>483</v>
      </c>
      <c r="C43" s="2"/>
      <c r="D43" s="2"/>
      <c r="E43" s="2" t="s">
        <v>484</v>
      </c>
      <c r="F43" s="2" t="s">
        <v>436</v>
      </c>
      <c r="G43" s="22" t="s">
        <v>62</v>
      </c>
      <c r="H43" s="2" t="s">
        <v>485</v>
      </c>
      <c r="I43" s="2"/>
      <c r="J43" s="2"/>
      <c r="K43" s="2"/>
      <c r="L43" s="2"/>
      <c r="M43" s="2"/>
      <c r="N43" s="21" t="s">
        <v>62</v>
      </c>
      <c r="O43" s="20" t="s">
        <v>62</v>
      </c>
      <c r="P43" s="21" t="s">
        <v>60</v>
      </c>
    </row>
    <row r="44" spans="1:16" x14ac:dyDescent="0.25">
      <c r="A44" s="17">
        <f t="shared" si="0"/>
        <v>36</v>
      </c>
      <c r="B44" s="2" t="s">
        <v>483</v>
      </c>
      <c r="C44" s="2"/>
      <c r="D44" s="2"/>
      <c r="E44" s="2" t="s">
        <v>486</v>
      </c>
      <c r="F44" s="2" t="s">
        <v>426</v>
      </c>
      <c r="G44" s="22" t="s">
        <v>62</v>
      </c>
      <c r="H44" s="2" t="s">
        <v>487</v>
      </c>
      <c r="I44" s="2"/>
      <c r="J44" s="2"/>
      <c r="K44" s="2"/>
      <c r="L44" s="2"/>
      <c r="M44" s="2"/>
      <c r="N44" s="21" t="s">
        <v>62</v>
      </c>
      <c r="O44" s="20" t="s">
        <v>62</v>
      </c>
      <c r="P44" s="21" t="s">
        <v>60</v>
      </c>
    </row>
    <row r="45" spans="1:16" x14ac:dyDescent="0.25">
      <c r="A45" s="17">
        <f t="shared" si="0"/>
        <v>37</v>
      </c>
      <c r="B45" s="2" t="s">
        <v>483</v>
      </c>
      <c r="C45" s="2"/>
      <c r="D45" s="2"/>
      <c r="E45" s="2" t="s">
        <v>488</v>
      </c>
      <c r="F45" s="2" t="s">
        <v>426</v>
      </c>
      <c r="G45" s="22" t="s">
        <v>62</v>
      </c>
      <c r="H45" s="2" t="s">
        <v>489</v>
      </c>
      <c r="I45" s="2"/>
      <c r="J45" s="2"/>
      <c r="K45" s="2"/>
      <c r="L45" s="2"/>
      <c r="M45" s="2"/>
      <c r="N45" s="21" t="s">
        <v>62</v>
      </c>
      <c r="O45" s="20" t="s">
        <v>62</v>
      </c>
      <c r="P45" s="21" t="s">
        <v>60</v>
      </c>
    </row>
    <row r="46" spans="1:16" x14ac:dyDescent="0.25">
      <c r="A46" s="17">
        <f t="shared" si="0"/>
        <v>38</v>
      </c>
      <c r="B46" s="2" t="s">
        <v>483</v>
      </c>
      <c r="C46" s="2"/>
      <c r="D46" s="2"/>
      <c r="E46" s="2" t="s">
        <v>490</v>
      </c>
      <c r="F46" s="2" t="s">
        <v>451</v>
      </c>
      <c r="G46" s="22" t="s">
        <v>62</v>
      </c>
      <c r="H46" s="2" t="s">
        <v>491</v>
      </c>
      <c r="I46" s="2"/>
      <c r="J46" s="2"/>
      <c r="K46" s="2"/>
      <c r="L46" s="2"/>
      <c r="M46" s="2"/>
      <c r="N46" s="21" t="s">
        <v>62</v>
      </c>
      <c r="O46" s="20" t="s">
        <v>62</v>
      </c>
      <c r="P46" s="21" t="s">
        <v>60</v>
      </c>
    </row>
    <row r="47" spans="1:16" x14ac:dyDescent="0.25">
      <c r="A47" s="17">
        <f t="shared" si="0"/>
        <v>39</v>
      </c>
      <c r="B47" s="2" t="s">
        <v>483</v>
      </c>
      <c r="C47" s="2"/>
      <c r="D47" s="2"/>
      <c r="E47" s="2" t="s">
        <v>492</v>
      </c>
      <c r="F47" s="2" t="s">
        <v>436</v>
      </c>
      <c r="G47" s="22" t="s">
        <v>62</v>
      </c>
      <c r="H47" s="2" t="s">
        <v>493</v>
      </c>
      <c r="I47" s="2"/>
      <c r="J47" s="2"/>
      <c r="K47" s="2"/>
      <c r="L47" s="2"/>
      <c r="M47" s="2"/>
      <c r="N47" s="21" t="s">
        <v>62</v>
      </c>
      <c r="O47" s="20" t="s">
        <v>62</v>
      </c>
      <c r="P47" s="21" t="s">
        <v>60</v>
      </c>
    </row>
    <row r="48" spans="1:16" x14ac:dyDescent="0.25">
      <c r="A48" s="17">
        <f t="shared" si="0"/>
        <v>40</v>
      </c>
      <c r="B48" s="2" t="s">
        <v>483</v>
      </c>
      <c r="C48" s="2"/>
      <c r="D48" s="2"/>
      <c r="E48" s="2" t="s">
        <v>494</v>
      </c>
      <c r="F48" s="2" t="s">
        <v>436</v>
      </c>
      <c r="G48" s="22" t="s">
        <v>62</v>
      </c>
      <c r="H48" s="2" t="s">
        <v>495</v>
      </c>
      <c r="I48" s="2"/>
      <c r="J48" s="2"/>
      <c r="K48" s="2"/>
      <c r="L48" s="2"/>
      <c r="M48" s="2"/>
      <c r="N48" s="21" t="s">
        <v>62</v>
      </c>
      <c r="O48" s="20" t="s">
        <v>62</v>
      </c>
      <c r="P48" s="21" t="s">
        <v>60</v>
      </c>
    </row>
    <row r="49" spans="1:16" x14ac:dyDescent="0.25">
      <c r="A49" s="17">
        <f t="shared" si="0"/>
        <v>41</v>
      </c>
      <c r="B49" s="2"/>
      <c r="C49" s="2"/>
      <c r="D49" s="2"/>
      <c r="E49" s="2" t="s">
        <v>496</v>
      </c>
      <c r="F49" s="2" t="s">
        <v>436</v>
      </c>
      <c r="G49" s="22" t="s">
        <v>62</v>
      </c>
      <c r="H49" s="2" t="s">
        <v>497</v>
      </c>
      <c r="I49" s="2"/>
      <c r="J49" s="2"/>
      <c r="K49" s="2"/>
      <c r="L49" s="2"/>
      <c r="M49" s="2"/>
      <c r="N49" s="21" t="s">
        <v>62</v>
      </c>
      <c r="O49" s="20" t="s">
        <v>62</v>
      </c>
      <c r="P49" s="21" t="s">
        <v>60</v>
      </c>
    </row>
    <row r="50" spans="1:16" x14ac:dyDescent="0.25">
      <c r="A50" s="17">
        <f t="shared" si="0"/>
        <v>42</v>
      </c>
      <c r="B50" s="2" t="s">
        <v>483</v>
      </c>
      <c r="C50" s="2"/>
      <c r="D50" s="2"/>
      <c r="E50" s="2" t="s">
        <v>498</v>
      </c>
      <c r="F50" s="2" t="s">
        <v>419</v>
      </c>
      <c r="G50" s="22" t="s">
        <v>62</v>
      </c>
      <c r="H50" s="2" t="s">
        <v>499</v>
      </c>
      <c r="I50" s="2"/>
      <c r="J50" s="2"/>
      <c r="K50" s="2"/>
      <c r="L50" s="2"/>
      <c r="M50" s="2"/>
      <c r="N50" s="21" t="s">
        <v>62</v>
      </c>
      <c r="O50" s="20" t="s">
        <v>62</v>
      </c>
      <c r="P50" s="21" t="s">
        <v>60</v>
      </c>
    </row>
    <row r="51" spans="1:16" x14ac:dyDescent="0.25">
      <c r="A51" s="17">
        <f t="shared" si="0"/>
        <v>43</v>
      </c>
      <c r="B51" s="2"/>
      <c r="C51" s="2"/>
      <c r="D51" s="2"/>
      <c r="E51" s="2" t="s">
        <v>500</v>
      </c>
      <c r="F51" s="2" t="s">
        <v>416</v>
      </c>
      <c r="G51" s="22" t="s">
        <v>62</v>
      </c>
      <c r="H51" s="2" t="s">
        <v>501</v>
      </c>
      <c r="I51" s="2"/>
      <c r="J51" s="2"/>
      <c r="K51" s="2"/>
      <c r="L51" s="2"/>
      <c r="M51" s="2"/>
      <c r="N51" s="21" t="s">
        <v>62</v>
      </c>
      <c r="O51" s="20" t="s">
        <v>62</v>
      </c>
      <c r="P51" s="21" t="s">
        <v>60</v>
      </c>
    </row>
    <row r="52" spans="1:16" x14ac:dyDescent="0.25">
      <c r="A52" s="17">
        <f t="shared" si="0"/>
        <v>44</v>
      </c>
      <c r="B52" s="2" t="s">
        <v>483</v>
      </c>
      <c r="C52" s="2"/>
      <c r="D52" s="2"/>
      <c r="E52" s="2" t="s">
        <v>502</v>
      </c>
      <c r="F52" s="2" t="s">
        <v>459</v>
      </c>
      <c r="G52" s="22" t="s">
        <v>62</v>
      </c>
      <c r="H52" s="2" t="s">
        <v>503</v>
      </c>
      <c r="I52" s="2"/>
      <c r="J52" s="2"/>
      <c r="K52" s="2"/>
      <c r="L52" s="2"/>
      <c r="M52" s="2"/>
      <c r="N52" s="21" t="s">
        <v>62</v>
      </c>
      <c r="O52" s="20" t="s">
        <v>62</v>
      </c>
      <c r="P52" s="21" t="s">
        <v>60</v>
      </c>
    </row>
    <row r="53" spans="1:16" x14ac:dyDescent="0.25">
      <c r="A53" s="17">
        <f t="shared" si="0"/>
        <v>45</v>
      </c>
      <c r="B53" s="2" t="s">
        <v>483</v>
      </c>
      <c r="C53" s="2"/>
      <c r="D53" s="2"/>
      <c r="E53" s="2" t="s">
        <v>504</v>
      </c>
      <c r="F53" s="2" t="s">
        <v>419</v>
      </c>
      <c r="G53" s="22" t="s">
        <v>62</v>
      </c>
      <c r="H53" s="2" t="s">
        <v>505</v>
      </c>
      <c r="I53" s="2"/>
      <c r="J53" s="2"/>
      <c r="K53" s="2"/>
      <c r="L53" s="2"/>
      <c r="M53" s="2"/>
      <c r="N53" s="21" t="s">
        <v>62</v>
      </c>
      <c r="O53" s="20" t="s">
        <v>62</v>
      </c>
      <c r="P53" s="21" t="s">
        <v>60</v>
      </c>
    </row>
    <row r="54" spans="1:16" x14ac:dyDescent="0.25">
      <c r="A54" s="17">
        <f t="shared" si="0"/>
        <v>46</v>
      </c>
      <c r="B54" s="2" t="s">
        <v>483</v>
      </c>
      <c r="C54" s="2"/>
      <c r="D54" s="2"/>
      <c r="E54" s="2" t="s">
        <v>506</v>
      </c>
      <c r="F54" s="2" t="s">
        <v>436</v>
      </c>
      <c r="G54" s="22" t="s">
        <v>62</v>
      </c>
      <c r="H54" s="2" t="s">
        <v>507</v>
      </c>
      <c r="I54" s="2"/>
      <c r="J54" s="2"/>
      <c r="K54" s="2"/>
      <c r="L54" s="2"/>
      <c r="M54" s="2"/>
      <c r="N54" s="21" t="s">
        <v>62</v>
      </c>
      <c r="O54" s="20" t="s">
        <v>62</v>
      </c>
      <c r="P54" s="21" t="s">
        <v>60</v>
      </c>
    </row>
    <row r="55" spans="1:16" x14ac:dyDescent="0.25">
      <c r="A55" s="17">
        <f t="shared" si="0"/>
        <v>47</v>
      </c>
      <c r="B55" s="2"/>
      <c r="C55" s="2"/>
      <c r="D55" s="2"/>
      <c r="E55" s="2" t="s">
        <v>508</v>
      </c>
      <c r="F55" s="2" t="s">
        <v>419</v>
      </c>
      <c r="G55" s="22" t="s">
        <v>62</v>
      </c>
      <c r="H55" s="2" t="s">
        <v>509</v>
      </c>
      <c r="I55" s="2"/>
      <c r="J55" s="2"/>
      <c r="K55" s="2"/>
      <c r="L55" s="2"/>
      <c r="M55" s="2"/>
      <c r="N55" s="21" t="s">
        <v>62</v>
      </c>
      <c r="O55" s="20" t="s">
        <v>62</v>
      </c>
      <c r="P55" s="21" t="s">
        <v>60</v>
      </c>
    </row>
    <row r="56" spans="1:16" x14ac:dyDescent="0.25">
      <c r="A56" s="17">
        <f t="shared" si="0"/>
        <v>48</v>
      </c>
      <c r="B56" s="2"/>
      <c r="C56" s="2"/>
      <c r="D56" s="2"/>
      <c r="E56" s="2" t="s">
        <v>510</v>
      </c>
      <c r="F56" s="2" t="s">
        <v>419</v>
      </c>
      <c r="G56" s="22" t="s">
        <v>62</v>
      </c>
      <c r="H56" s="2" t="s">
        <v>511</v>
      </c>
      <c r="I56" s="2"/>
      <c r="J56" s="2"/>
      <c r="K56" s="2"/>
      <c r="L56" s="2"/>
      <c r="M56" s="2"/>
      <c r="N56" s="21" t="s">
        <v>62</v>
      </c>
      <c r="O56" s="20" t="s">
        <v>62</v>
      </c>
      <c r="P56" s="21" t="s">
        <v>60</v>
      </c>
    </row>
    <row r="57" spans="1:16" x14ac:dyDescent="0.25">
      <c r="A57" s="17">
        <f t="shared" si="0"/>
        <v>49</v>
      </c>
      <c r="B57" s="2" t="s">
        <v>512</v>
      </c>
      <c r="C57" s="2"/>
      <c r="D57" s="2"/>
      <c r="E57" s="2" t="s">
        <v>513</v>
      </c>
      <c r="F57" s="2" t="s">
        <v>436</v>
      </c>
      <c r="G57" s="22" t="s">
        <v>62</v>
      </c>
      <c r="H57" s="2" t="s">
        <v>514</v>
      </c>
      <c r="I57" s="2"/>
      <c r="J57" s="2"/>
      <c r="K57" s="2"/>
      <c r="L57" s="2"/>
      <c r="M57" s="2"/>
      <c r="N57" s="21" t="s">
        <v>62</v>
      </c>
      <c r="O57" s="20" t="s">
        <v>60</v>
      </c>
      <c r="P57" s="21" t="s">
        <v>60</v>
      </c>
    </row>
    <row r="58" spans="1:16" x14ac:dyDescent="0.25">
      <c r="A58" s="17">
        <f t="shared" si="0"/>
        <v>50</v>
      </c>
      <c r="B58" s="2" t="s">
        <v>512</v>
      </c>
      <c r="C58" s="2"/>
      <c r="D58" s="2"/>
      <c r="E58" s="2" t="s">
        <v>515</v>
      </c>
      <c r="F58" s="2" t="s">
        <v>436</v>
      </c>
      <c r="G58" s="22" t="s">
        <v>62</v>
      </c>
      <c r="H58" s="2" t="s">
        <v>516</v>
      </c>
      <c r="I58" s="2"/>
      <c r="J58" s="2"/>
      <c r="K58" s="2"/>
      <c r="L58" s="2"/>
      <c r="M58" s="2"/>
      <c r="N58" s="21" t="s">
        <v>62</v>
      </c>
      <c r="O58" s="20" t="s">
        <v>60</v>
      </c>
      <c r="P58" s="21" t="s">
        <v>60</v>
      </c>
    </row>
    <row r="59" spans="1:16" x14ac:dyDescent="0.25">
      <c r="A59" s="17">
        <f t="shared" si="0"/>
        <v>51</v>
      </c>
      <c r="B59" s="2" t="s">
        <v>512</v>
      </c>
      <c r="C59" s="2"/>
      <c r="D59" s="2"/>
      <c r="E59" s="2" t="s">
        <v>517</v>
      </c>
      <c r="F59" s="2" t="s">
        <v>426</v>
      </c>
      <c r="G59" s="22" t="s">
        <v>62</v>
      </c>
      <c r="H59" s="2" t="s">
        <v>518</v>
      </c>
      <c r="I59" s="2"/>
      <c r="J59" s="2"/>
      <c r="K59" s="2"/>
      <c r="L59" s="2"/>
      <c r="M59" s="2"/>
      <c r="N59" s="21" t="s">
        <v>62</v>
      </c>
      <c r="O59" s="20" t="s">
        <v>60</v>
      </c>
      <c r="P59" s="21" t="s">
        <v>60</v>
      </c>
    </row>
    <row r="60" spans="1:16" x14ac:dyDescent="0.25">
      <c r="A60" s="17">
        <f t="shared" si="0"/>
        <v>52</v>
      </c>
      <c r="B60" s="2" t="s">
        <v>512</v>
      </c>
      <c r="C60" s="2"/>
      <c r="D60" s="2"/>
      <c r="E60" s="2" t="s">
        <v>519</v>
      </c>
      <c r="F60" s="2" t="s">
        <v>436</v>
      </c>
      <c r="G60" s="22" t="s">
        <v>62</v>
      </c>
      <c r="H60" s="2" t="s">
        <v>520</v>
      </c>
      <c r="I60" s="2"/>
      <c r="J60" s="2"/>
      <c r="K60" s="2"/>
      <c r="L60" s="2"/>
      <c r="M60" s="2"/>
      <c r="N60" s="21" t="s">
        <v>62</v>
      </c>
      <c r="O60" s="20" t="s">
        <v>60</v>
      </c>
      <c r="P60" s="21" t="s">
        <v>60</v>
      </c>
    </row>
    <row r="61" spans="1:16" x14ac:dyDescent="0.25">
      <c r="A61" s="17">
        <f t="shared" si="0"/>
        <v>53</v>
      </c>
      <c r="B61" s="2" t="s">
        <v>512</v>
      </c>
      <c r="C61" s="2"/>
      <c r="D61" s="2"/>
      <c r="E61" s="2" t="s">
        <v>521</v>
      </c>
      <c r="F61" s="2" t="s">
        <v>426</v>
      </c>
      <c r="G61" s="22" t="s">
        <v>62</v>
      </c>
      <c r="H61" s="2" t="s">
        <v>522</v>
      </c>
      <c r="I61" s="2"/>
      <c r="J61" s="2"/>
      <c r="K61" s="2"/>
      <c r="L61" s="2"/>
      <c r="M61" s="2"/>
      <c r="N61" s="21" t="s">
        <v>62</v>
      </c>
      <c r="O61" s="20" t="s">
        <v>60</v>
      </c>
      <c r="P61" s="21" t="s">
        <v>60</v>
      </c>
    </row>
    <row r="62" spans="1:16" x14ac:dyDescent="0.25">
      <c r="A62" s="17">
        <f t="shared" si="0"/>
        <v>54</v>
      </c>
      <c r="B62" s="2" t="s">
        <v>512</v>
      </c>
      <c r="C62" s="2"/>
      <c r="D62" s="2"/>
      <c r="E62" s="2" t="s">
        <v>523</v>
      </c>
      <c r="F62" s="2" t="s">
        <v>426</v>
      </c>
      <c r="G62" s="22" t="s">
        <v>62</v>
      </c>
      <c r="H62" s="2" t="s">
        <v>524</v>
      </c>
      <c r="I62" s="2"/>
      <c r="J62" s="2"/>
      <c r="K62" s="2"/>
      <c r="L62" s="2"/>
      <c r="M62" s="2"/>
      <c r="N62" s="21" t="s">
        <v>62</v>
      </c>
      <c r="O62" s="20" t="s">
        <v>60</v>
      </c>
      <c r="P62" s="21" t="s">
        <v>60</v>
      </c>
    </row>
    <row r="63" spans="1:16" x14ac:dyDescent="0.25">
      <c r="A63" s="17">
        <f t="shared" si="0"/>
        <v>55</v>
      </c>
      <c r="B63" s="2"/>
      <c r="C63" s="2"/>
      <c r="D63" s="2"/>
      <c r="E63" s="2" t="s">
        <v>525</v>
      </c>
      <c r="F63" s="2" t="s">
        <v>411</v>
      </c>
      <c r="G63" s="22" t="s">
        <v>62</v>
      </c>
      <c r="H63" s="2" t="s">
        <v>526</v>
      </c>
      <c r="I63" s="2"/>
      <c r="J63" s="2"/>
      <c r="K63" s="2"/>
      <c r="L63" s="2"/>
      <c r="M63" s="2"/>
      <c r="N63" s="21" t="s">
        <v>62</v>
      </c>
      <c r="O63" s="20" t="s">
        <v>60</v>
      </c>
      <c r="P63" s="21" t="s">
        <v>60</v>
      </c>
    </row>
    <row r="64" spans="1:16" x14ac:dyDescent="0.25">
      <c r="A64" s="17">
        <f t="shared" si="0"/>
        <v>56</v>
      </c>
      <c r="B64" s="2"/>
      <c r="C64" s="2"/>
      <c r="D64" s="2"/>
      <c r="E64" s="2" t="s">
        <v>527</v>
      </c>
      <c r="F64" s="2" t="s">
        <v>416</v>
      </c>
      <c r="G64" s="22" t="s">
        <v>62</v>
      </c>
      <c r="H64" s="2" t="s">
        <v>528</v>
      </c>
      <c r="I64" s="2"/>
      <c r="J64" s="2"/>
      <c r="K64" s="2"/>
      <c r="L64" s="2"/>
      <c r="M64" s="2"/>
      <c r="N64" s="21" t="s">
        <v>62</v>
      </c>
      <c r="O64" s="20" t="s">
        <v>60</v>
      </c>
      <c r="P64" s="21" t="s">
        <v>62</v>
      </c>
    </row>
    <row r="65" spans="1:16" x14ac:dyDescent="0.25">
      <c r="A65" s="17">
        <f t="shared" si="0"/>
        <v>57</v>
      </c>
      <c r="B65" s="2"/>
      <c r="C65" s="2"/>
      <c r="D65" s="2"/>
      <c r="E65" s="2" t="s">
        <v>529</v>
      </c>
      <c r="F65" s="2" t="s">
        <v>426</v>
      </c>
      <c r="G65" s="22" t="s">
        <v>62</v>
      </c>
      <c r="H65" s="2" t="s">
        <v>530</v>
      </c>
      <c r="I65" s="2"/>
      <c r="J65" s="2"/>
      <c r="K65" s="2"/>
      <c r="L65" s="2"/>
      <c r="M65" s="2"/>
      <c r="N65" s="21" t="s">
        <v>62</v>
      </c>
      <c r="O65" s="20" t="s">
        <v>60</v>
      </c>
      <c r="P65" s="21" t="s">
        <v>62</v>
      </c>
    </row>
    <row r="66" spans="1:16" x14ac:dyDescent="0.25">
      <c r="A66" s="17">
        <f t="shared" si="0"/>
        <v>58</v>
      </c>
      <c r="B66" s="2"/>
      <c r="C66" s="2"/>
      <c r="D66" s="2"/>
      <c r="E66" s="2" t="s">
        <v>531</v>
      </c>
      <c r="F66" s="2" t="s">
        <v>426</v>
      </c>
      <c r="G66" s="22" t="s">
        <v>62</v>
      </c>
      <c r="H66" s="2" t="s">
        <v>532</v>
      </c>
      <c r="I66" s="2"/>
      <c r="J66" s="2"/>
      <c r="K66" s="2"/>
      <c r="L66" s="2"/>
      <c r="M66" s="2"/>
      <c r="N66" s="21" t="s">
        <v>62</v>
      </c>
      <c r="O66" s="20" t="s">
        <v>60</v>
      </c>
      <c r="P66" s="21" t="s">
        <v>62</v>
      </c>
    </row>
    <row r="67" spans="1:16" x14ac:dyDescent="0.25">
      <c r="A67" s="17">
        <f t="shared" si="0"/>
        <v>59</v>
      </c>
      <c r="B67" s="2"/>
      <c r="C67" s="2"/>
      <c r="D67" s="2"/>
      <c r="E67" s="2" t="s">
        <v>533</v>
      </c>
      <c r="F67" s="2" t="s">
        <v>419</v>
      </c>
      <c r="G67" s="22" t="s">
        <v>62</v>
      </c>
      <c r="H67" s="2" t="s">
        <v>534</v>
      </c>
      <c r="I67" s="2"/>
      <c r="J67" s="2"/>
      <c r="K67" s="2"/>
      <c r="L67" s="2"/>
      <c r="M67" s="2"/>
      <c r="N67" s="21" t="s">
        <v>62</v>
      </c>
      <c r="O67" s="20" t="s">
        <v>60</v>
      </c>
      <c r="P67" s="21" t="s">
        <v>62</v>
      </c>
    </row>
    <row r="68" spans="1:16" x14ac:dyDescent="0.25">
      <c r="A68" s="17">
        <f t="shared" si="0"/>
        <v>60</v>
      </c>
      <c r="B68" s="2"/>
      <c r="C68" s="2"/>
      <c r="D68" s="2"/>
      <c r="E68" s="2" t="s">
        <v>535</v>
      </c>
      <c r="F68" s="2" t="s">
        <v>436</v>
      </c>
      <c r="G68" s="22" t="s">
        <v>62</v>
      </c>
      <c r="H68" s="2" t="s">
        <v>536</v>
      </c>
      <c r="I68" s="2"/>
      <c r="J68" s="2"/>
      <c r="K68" s="2"/>
      <c r="L68" s="2"/>
      <c r="M68" s="2"/>
      <c r="N68" s="21" t="s">
        <v>62</v>
      </c>
      <c r="O68" s="20" t="s">
        <v>60</v>
      </c>
      <c r="P68" s="21" t="s">
        <v>62</v>
      </c>
    </row>
    <row r="69" spans="1:16" x14ac:dyDescent="0.25">
      <c r="A69" s="17">
        <f t="shared" si="0"/>
        <v>61</v>
      </c>
      <c r="B69" s="2"/>
      <c r="C69" s="2"/>
      <c r="D69" s="2"/>
      <c r="E69" s="2" t="s">
        <v>537</v>
      </c>
      <c r="F69" s="2" t="s">
        <v>426</v>
      </c>
      <c r="G69" s="22" t="s">
        <v>62</v>
      </c>
      <c r="H69" s="2" t="s">
        <v>538</v>
      </c>
      <c r="I69" s="2"/>
      <c r="J69" s="2"/>
      <c r="K69" s="2"/>
      <c r="L69" s="2"/>
      <c r="M69" s="2"/>
      <c r="N69" s="21" t="s">
        <v>62</v>
      </c>
      <c r="O69" s="20" t="s">
        <v>60</v>
      </c>
      <c r="P69" s="21" t="s">
        <v>60</v>
      </c>
    </row>
    <row r="70" spans="1:16" x14ac:dyDescent="0.25">
      <c r="A70" s="17">
        <f t="shared" si="0"/>
        <v>62</v>
      </c>
      <c r="B70" s="2"/>
      <c r="C70" s="2"/>
      <c r="D70" s="2"/>
      <c r="E70" s="2" t="s">
        <v>539</v>
      </c>
      <c r="F70" s="2" t="s">
        <v>416</v>
      </c>
      <c r="G70" s="22" t="s">
        <v>62</v>
      </c>
      <c r="H70" s="2" t="s">
        <v>540</v>
      </c>
      <c r="I70" s="2"/>
      <c r="J70" s="2"/>
      <c r="K70" s="2"/>
      <c r="L70" s="2"/>
      <c r="M70" s="2"/>
      <c r="N70" s="21" t="s">
        <v>62</v>
      </c>
      <c r="O70" s="20" t="s">
        <v>60</v>
      </c>
      <c r="P70" s="21" t="s">
        <v>62</v>
      </c>
    </row>
    <row r="71" spans="1:16" x14ac:dyDescent="0.25">
      <c r="A71" s="17">
        <f t="shared" si="0"/>
        <v>63</v>
      </c>
      <c r="B71" s="2"/>
      <c r="C71" s="2"/>
      <c r="D71" s="2"/>
      <c r="E71" s="2" t="s">
        <v>541</v>
      </c>
      <c r="F71" s="2" t="s">
        <v>411</v>
      </c>
      <c r="G71" s="22" t="s">
        <v>62</v>
      </c>
      <c r="H71" s="2" t="s">
        <v>542</v>
      </c>
      <c r="I71" s="2"/>
      <c r="J71" s="2"/>
      <c r="K71" s="2"/>
      <c r="L71" s="2"/>
      <c r="M71" s="2"/>
      <c r="N71" s="21" t="s">
        <v>62</v>
      </c>
      <c r="O71" s="20" t="s">
        <v>60</v>
      </c>
      <c r="P71" s="21" t="s">
        <v>62</v>
      </c>
    </row>
    <row r="72" spans="1:16" x14ac:dyDescent="0.25">
      <c r="A72" s="17">
        <f t="shared" si="0"/>
        <v>64</v>
      </c>
      <c r="B72" s="2"/>
      <c r="C72" s="2"/>
      <c r="D72" s="2"/>
      <c r="E72" s="2" t="s">
        <v>543</v>
      </c>
      <c r="F72" s="2" t="s">
        <v>416</v>
      </c>
      <c r="G72" s="22" t="s">
        <v>62</v>
      </c>
      <c r="H72" s="2" t="s">
        <v>544</v>
      </c>
      <c r="I72" s="2"/>
      <c r="J72" s="2"/>
      <c r="K72" s="2"/>
      <c r="L72" s="2"/>
      <c r="M72" s="2"/>
      <c r="N72" s="21" t="s">
        <v>62</v>
      </c>
      <c r="O72" s="20" t="s">
        <v>60</v>
      </c>
      <c r="P72" s="21" t="s">
        <v>62</v>
      </c>
    </row>
    <row r="73" spans="1:16" x14ac:dyDescent="0.25">
      <c r="A73" s="17">
        <f t="shared" si="0"/>
        <v>65</v>
      </c>
      <c r="B73" s="2"/>
      <c r="C73" s="2"/>
      <c r="D73" s="2"/>
      <c r="E73" s="2" t="s">
        <v>545</v>
      </c>
      <c r="F73" s="2" t="s">
        <v>426</v>
      </c>
      <c r="G73" s="22" t="s">
        <v>62</v>
      </c>
      <c r="H73" s="2" t="s">
        <v>546</v>
      </c>
      <c r="I73" s="2"/>
      <c r="J73" s="2"/>
      <c r="K73" s="2"/>
      <c r="L73" s="2"/>
      <c r="M73" s="2"/>
      <c r="N73" s="21" t="s">
        <v>62</v>
      </c>
      <c r="O73" s="20" t="s">
        <v>60</v>
      </c>
      <c r="P73" s="21" t="s">
        <v>62</v>
      </c>
    </row>
    <row r="74" spans="1:16" x14ac:dyDescent="0.25">
      <c r="A74" s="17">
        <f t="shared" si="0"/>
        <v>66</v>
      </c>
      <c r="B74" s="2"/>
      <c r="C74" s="2"/>
      <c r="D74" s="2"/>
      <c r="E74" s="2" t="s">
        <v>547</v>
      </c>
      <c r="F74" s="2" t="s">
        <v>436</v>
      </c>
      <c r="G74" s="22" t="s">
        <v>62</v>
      </c>
      <c r="H74" s="2" t="s">
        <v>548</v>
      </c>
      <c r="I74" s="2"/>
      <c r="J74" s="2"/>
      <c r="K74" s="2"/>
      <c r="L74" s="2"/>
      <c r="M74" s="2"/>
      <c r="N74" s="21" t="s">
        <v>62</v>
      </c>
      <c r="O74" s="20" t="s">
        <v>60</v>
      </c>
      <c r="P74" s="21" t="s">
        <v>62</v>
      </c>
    </row>
    <row r="75" spans="1:16" x14ac:dyDescent="0.25">
      <c r="A75" s="17">
        <f t="shared" ref="A75:A128" si="1">A74+1</f>
        <v>67</v>
      </c>
      <c r="B75" s="2"/>
      <c r="C75" s="2"/>
      <c r="D75" s="2"/>
      <c r="E75" s="2" t="s">
        <v>549</v>
      </c>
      <c r="F75" s="2" t="s">
        <v>550</v>
      </c>
      <c r="G75" s="22" t="s">
        <v>62</v>
      </c>
      <c r="H75" s="2" t="s">
        <v>551</v>
      </c>
      <c r="I75" s="2"/>
      <c r="J75" s="2"/>
      <c r="K75" s="2"/>
      <c r="L75" s="2"/>
      <c r="M75" s="2"/>
      <c r="N75" s="21" t="s">
        <v>62</v>
      </c>
      <c r="O75" s="20" t="s">
        <v>62</v>
      </c>
      <c r="P75" s="21" t="s">
        <v>60</v>
      </c>
    </row>
    <row r="76" spans="1:16" x14ac:dyDescent="0.25">
      <c r="A76" s="17">
        <f t="shared" si="1"/>
        <v>68</v>
      </c>
      <c r="B76" s="2"/>
      <c r="C76" s="2"/>
      <c r="D76" s="2"/>
      <c r="E76" s="2" t="s">
        <v>552</v>
      </c>
      <c r="F76" s="2" t="s">
        <v>550</v>
      </c>
      <c r="G76" s="22" t="s">
        <v>62</v>
      </c>
      <c r="H76" s="2" t="s">
        <v>553</v>
      </c>
      <c r="I76" s="2"/>
      <c r="J76" s="2"/>
      <c r="K76" s="2"/>
      <c r="L76" s="2"/>
      <c r="M76" s="2"/>
      <c r="N76" s="21" t="s">
        <v>62</v>
      </c>
      <c r="O76" s="20" t="s">
        <v>62</v>
      </c>
      <c r="P76" s="21" t="s">
        <v>60</v>
      </c>
    </row>
    <row r="77" spans="1:16" x14ac:dyDescent="0.25">
      <c r="A77" s="17">
        <f t="shared" si="1"/>
        <v>69</v>
      </c>
      <c r="B77" s="2" t="s">
        <v>554</v>
      </c>
      <c r="C77" s="2"/>
      <c r="D77" s="2"/>
      <c r="E77" s="2" t="s">
        <v>555</v>
      </c>
      <c r="F77" s="2" t="s">
        <v>436</v>
      </c>
      <c r="G77" s="22" t="s">
        <v>62</v>
      </c>
      <c r="H77" s="2" t="s">
        <v>556</v>
      </c>
      <c r="I77" s="2"/>
      <c r="J77" s="2"/>
      <c r="K77" s="2"/>
      <c r="L77" s="2"/>
      <c r="M77" s="2"/>
      <c r="N77" s="21" t="s">
        <v>62</v>
      </c>
      <c r="O77" s="20" t="s">
        <v>60</v>
      </c>
      <c r="P77" s="21" t="s">
        <v>62</v>
      </c>
    </row>
    <row r="78" spans="1:16" x14ac:dyDescent="0.25">
      <c r="A78" s="17">
        <f t="shared" si="1"/>
        <v>70</v>
      </c>
      <c r="B78" s="2"/>
      <c r="C78" s="2"/>
      <c r="D78" s="2"/>
      <c r="E78" s="2" t="s">
        <v>557</v>
      </c>
      <c r="F78" s="2" t="s">
        <v>411</v>
      </c>
      <c r="G78" s="22" t="s">
        <v>62</v>
      </c>
      <c r="H78" s="2" t="s">
        <v>558</v>
      </c>
      <c r="I78" s="2"/>
      <c r="J78" s="2"/>
      <c r="K78" s="2"/>
      <c r="L78" s="2"/>
      <c r="M78" s="2"/>
      <c r="N78" s="21" t="s">
        <v>62</v>
      </c>
      <c r="O78" s="20" t="s">
        <v>60</v>
      </c>
      <c r="P78" s="21" t="s">
        <v>62</v>
      </c>
    </row>
    <row r="79" spans="1:16" x14ac:dyDescent="0.25">
      <c r="A79" s="17">
        <f t="shared" si="1"/>
        <v>71</v>
      </c>
      <c r="B79" s="2" t="s">
        <v>554</v>
      </c>
      <c r="C79" s="2"/>
      <c r="D79" s="2"/>
      <c r="E79" s="2" t="s">
        <v>559</v>
      </c>
      <c r="F79" s="2" t="s">
        <v>426</v>
      </c>
      <c r="G79" s="22" t="s">
        <v>62</v>
      </c>
      <c r="H79" s="2" t="s">
        <v>560</v>
      </c>
      <c r="I79" s="2"/>
      <c r="J79" s="2"/>
      <c r="K79" s="2"/>
      <c r="L79" s="2"/>
      <c r="M79" s="2"/>
      <c r="N79" s="21" t="s">
        <v>62</v>
      </c>
      <c r="O79" s="20" t="s">
        <v>60</v>
      </c>
      <c r="P79" s="21" t="s">
        <v>62</v>
      </c>
    </row>
    <row r="80" spans="1:16" x14ac:dyDescent="0.25">
      <c r="A80" s="17">
        <f t="shared" si="1"/>
        <v>72</v>
      </c>
      <c r="B80" s="2" t="s">
        <v>554</v>
      </c>
      <c r="C80" s="2"/>
      <c r="D80" s="2"/>
      <c r="E80" s="2" t="s">
        <v>561</v>
      </c>
      <c r="F80" s="2" t="s">
        <v>436</v>
      </c>
      <c r="G80" s="22" t="s">
        <v>62</v>
      </c>
      <c r="H80" s="2" t="s">
        <v>562</v>
      </c>
      <c r="I80" s="2"/>
      <c r="J80" s="2"/>
      <c r="K80" s="2"/>
      <c r="L80" s="2"/>
      <c r="M80" s="2"/>
      <c r="N80" s="21" t="s">
        <v>62</v>
      </c>
      <c r="O80" s="20" t="s">
        <v>60</v>
      </c>
      <c r="P80" s="21" t="s">
        <v>62</v>
      </c>
    </row>
    <row r="81" spans="1:16" x14ac:dyDescent="0.25">
      <c r="A81" s="17">
        <f t="shared" si="1"/>
        <v>73</v>
      </c>
      <c r="B81" s="2"/>
      <c r="C81" s="2"/>
      <c r="D81" s="2"/>
      <c r="E81" s="2" t="s">
        <v>563</v>
      </c>
      <c r="F81" s="2" t="s">
        <v>411</v>
      </c>
      <c r="G81" s="22" t="s">
        <v>62</v>
      </c>
      <c r="H81" s="2" t="s">
        <v>564</v>
      </c>
      <c r="I81" s="2"/>
      <c r="J81" s="2"/>
      <c r="K81" s="2"/>
      <c r="L81" s="2"/>
      <c r="M81" s="2"/>
      <c r="N81" s="21" t="s">
        <v>62</v>
      </c>
      <c r="O81" s="20" t="s">
        <v>60</v>
      </c>
      <c r="P81" s="21" t="s">
        <v>62</v>
      </c>
    </row>
    <row r="82" spans="1:16" x14ac:dyDescent="0.25">
      <c r="A82" s="17">
        <f t="shared" si="1"/>
        <v>74</v>
      </c>
      <c r="B82" s="2" t="s">
        <v>554</v>
      </c>
      <c r="C82" s="2"/>
      <c r="D82" s="2"/>
      <c r="E82" s="2" t="s">
        <v>565</v>
      </c>
      <c r="F82" s="2" t="s">
        <v>426</v>
      </c>
      <c r="G82" s="22" t="s">
        <v>62</v>
      </c>
      <c r="H82" s="2" t="s">
        <v>566</v>
      </c>
      <c r="I82" s="2"/>
      <c r="J82" s="2"/>
      <c r="K82" s="2"/>
      <c r="L82" s="2"/>
      <c r="M82" s="2"/>
      <c r="N82" s="21" t="s">
        <v>62</v>
      </c>
      <c r="O82" s="20" t="s">
        <v>60</v>
      </c>
      <c r="P82" s="21" t="s">
        <v>62</v>
      </c>
    </row>
    <row r="83" spans="1:16" x14ac:dyDescent="0.25">
      <c r="A83" s="17">
        <f t="shared" si="1"/>
        <v>75</v>
      </c>
      <c r="B83" s="2" t="s">
        <v>554</v>
      </c>
      <c r="C83" s="2"/>
      <c r="D83" s="2"/>
      <c r="E83" s="2" t="s">
        <v>567</v>
      </c>
      <c r="F83" s="2" t="s">
        <v>459</v>
      </c>
      <c r="G83" s="22" t="s">
        <v>62</v>
      </c>
      <c r="H83" s="2" t="s">
        <v>568</v>
      </c>
      <c r="I83" s="2"/>
      <c r="J83" s="2"/>
      <c r="K83" s="2"/>
      <c r="L83" s="2"/>
      <c r="M83" s="2"/>
      <c r="N83" s="21" t="s">
        <v>62</v>
      </c>
      <c r="O83" s="20" t="s">
        <v>62</v>
      </c>
      <c r="P83" s="21" t="s">
        <v>60</v>
      </c>
    </row>
    <row r="84" spans="1:16" x14ac:dyDescent="0.25">
      <c r="A84" s="17">
        <f t="shared" si="1"/>
        <v>76</v>
      </c>
      <c r="B84" s="2" t="s">
        <v>554</v>
      </c>
      <c r="C84" s="2"/>
      <c r="D84" s="2"/>
      <c r="E84" s="2" t="s">
        <v>569</v>
      </c>
      <c r="F84" s="2" t="s">
        <v>419</v>
      </c>
      <c r="G84" s="22" t="s">
        <v>62</v>
      </c>
      <c r="H84" s="2" t="s">
        <v>570</v>
      </c>
      <c r="I84" s="2"/>
      <c r="J84" s="2"/>
      <c r="K84" s="2"/>
      <c r="L84" s="2"/>
      <c r="M84" s="2"/>
      <c r="N84" s="21" t="s">
        <v>62</v>
      </c>
      <c r="O84" s="20" t="s">
        <v>62</v>
      </c>
      <c r="P84" s="21" t="s">
        <v>60</v>
      </c>
    </row>
    <row r="85" spans="1:16" x14ac:dyDescent="0.25">
      <c r="A85" s="17">
        <f t="shared" si="1"/>
        <v>77</v>
      </c>
      <c r="B85" s="2"/>
      <c r="C85" s="2"/>
      <c r="D85" s="2"/>
      <c r="E85" s="2" t="s">
        <v>571</v>
      </c>
      <c r="F85" s="2" t="s">
        <v>411</v>
      </c>
      <c r="G85" s="22" t="s">
        <v>62</v>
      </c>
      <c r="H85" s="2" t="s">
        <v>572</v>
      </c>
      <c r="I85" s="2"/>
      <c r="J85" s="2"/>
      <c r="K85" s="2"/>
      <c r="L85" s="2"/>
      <c r="M85" s="2"/>
      <c r="N85" s="21" t="s">
        <v>62</v>
      </c>
      <c r="O85" s="20" t="s">
        <v>60</v>
      </c>
      <c r="P85" s="21" t="s">
        <v>60</v>
      </c>
    </row>
    <row r="86" spans="1:16" x14ac:dyDescent="0.25">
      <c r="A86" s="17">
        <f t="shared" si="1"/>
        <v>78</v>
      </c>
      <c r="B86" s="2"/>
      <c r="C86" s="2"/>
      <c r="D86" s="2"/>
      <c r="E86" s="2" t="s">
        <v>573</v>
      </c>
      <c r="F86" s="2" t="s">
        <v>411</v>
      </c>
      <c r="G86" s="22" t="s">
        <v>62</v>
      </c>
      <c r="H86" s="2" t="s">
        <v>574</v>
      </c>
      <c r="I86" s="2"/>
      <c r="J86" s="2"/>
      <c r="K86" s="2"/>
      <c r="L86" s="2"/>
      <c r="M86" s="2"/>
      <c r="N86" s="21" t="s">
        <v>62</v>
      </c>
      <c r="O86" s="20" t="s">
        <v>60</v>
      </c>
      <c r="P86" s="21" t="s">
        <v>62</v>
      </c>
    </row>
    <row r="87" spans="1:16" x14ac:dyDescent="0.25">
      <c r="A87" s="17">
        <f t="shared" si="1"/>
        <v>79</v>
      </c>
      <c r="B87" s="2"/>
      <c r="C87" s="2"/>
      <c r="D87" s="2"/>
      <c r="E87" s="2" t="s">
        <v>575</v>
      </c>
      <c r="F87" s="2" t="s">
        <v>459</v>
      </c>
      <c r="G87" s="22" t="s">
        <v>62</v>
      </c>
      <c r="H87" s="2" t="s">
        <v>576</v>
      </c>
      <c r="I87" s="2"/>
      <c r="J87" s="2"/>
      <c r="K87" s="2"/>
      <c r="L87" s="2"/>
      <c r="M87" s="2"/>
      <c r="N87" s="21" t="s">
        <v>62</v>
      </c>
      <c r="O87" s="20" t="s">
        <v>60</v>
      </c>
      <c r="P87" s="21" t="s">
        <v>60</v>
      </c>
    </row>
    <row r="88" spans="1:16" x14ac:dyDescent="0.25">
      <c r="A88" s="17">
        <f t="shared" si="1"/>
        <v>80</v>
      </c>
      <c r="B88" s="2"/>
      <c r="C88" s="2"/>
      <c r="D88" s="2"/>
      <c r="E88" s="2" t="s">
        <v>577</v>
      </c>
      <c r="F88" s="2" t="s">
        <v>419</v>
      </c>
      <c r="G88" s="22" t="s">
        <v>62</v>
      </c>
      <c r="H88" s="2" t="s">
        <v>578</v>
      </c>
      <c r="I88" s="2"/>
      <c r="J88" s="2"/>
      <c r="K88" s="2"/>
      <c r="L88" s="2"/>
      <c r="M88" s="2"/>
      <c r="N88" s="21" t="s">
        <v>62</v>
      </c>
      <c r="O88" s="20" t="s">
        <v>60</v>
      </c>
      <c r="P88" s="21" t="s">
        <v>62</v>
      </c>
    </row>
    <row r="89" spans="1:16" x14ac:dyDescent="0.25">
      <c r="A89" s="17">
        <f t="shared" si="1"/>
        <v>81</v>
      </c>
      <c r="B89" s="2"/>
      <c r="C89" s="2"/>
      <c r="D89" s="2"/>
      <c r="E89" s="2" t="s">
        <v>579</v>
      </c>
      <c r="F89" s="2" t="s">
        <v>416</v>
      </c>
      <c r="G89" s="22" t="s">
        <v>62</v>
      </c>
      <c r="H89" s="2" t="s">
        <v>580</v>
      </c>
      <c r="I89" s="2"/>
      <c r="J89" s="2"/>
      <c r="K89" s="2"/>
      <c r="L89" s="2"/>
      <c r="M89" s="2"/>
      <c r="N89" s="21" t="s">
        <v>62</v>
      </c>
      <c r="O89" s="20" t="s">
        <v>60</v>
      </c>
      <c r="P89" s="21" t="s">
        <v>62</v>
      </c>
    </row>
    <row r="90" spans="1:16" x14ac:dyDescent="0.25">
      <c r="A90" s="17">
        <f t="shared" si="1"/>
        <v>82</v>
      </c>
      <c r="B90" s="2"/>
      <c r="C90" s="2"/>
      <c r="D90" s="2"/>
      <c r="E90" s="2" t="s">
        <v>581</v>
      </c>
      <c r="F90" s="2" t="s">
        <v>416</v>
      </c>
      <c r="G90" s="22" t="s">
        <v>62</v>
      </c>
      <c r="H90" s="2" t="s">
        <v>582</v>
      </c>
      <c r="I90" s="2"/>
      <c r="J90" s="2"/>
      <c r="K90" s="2"/>
      <c r="L90" s="2"/>
      <c r="M90" s="2"/>
      <c r="N90" s="21" t="s">
        <v>62</v>
      </c>
      <c r="O90" s="20" t="s">
        <v>60</v>
      </c>
      <c r="P90" s="21" t="s">
        <v>62</v>
      </c>
    </row>
    <row r="91" spans="1:16" x14ac:dyDescent="0.25">
      <c r="A91" s="17">
        <f t="shared" si="1"/>
        <v>83</v>
      </c>
      <c r="B91" s="2"/>
      <c r="C91" s="2"/>
      <c r="D91" s="2"/>
      <c r="E91" s="2" t="s">
        <v>583</v>
      </c>
      <c r="F91" s="2" t="s">
        <v>416</v>
      </c>
      <c r="G91" s="22" t="s">
        <v>62</v>
      </c>
      <c r="H91" s="2" t="s">
        <v>584</v>
      </c>
      <c r="I91" s="2"/>
      <c r="J91" s="2"/>
      <c r="K91" s="2"/>
      <c r="L91" s="2"/>
      <c r="M91" s="2"/>
      <c r="N91" s="21" t="s">
        <v>62</v>
      </c>
      <c r="O91" s="20" t="s">
        <v>60</v>
      </c>
      <c r="P91" s="21" t="s">
        <v>62</v>
      </c>
    </row>
    <row r="92" spans="1:16" x14ac:dyDescent="0.25">
      <c r="A92" s="17">
        <f t="shared" si="1"/>
        <v>84</v>
      </c>
      <c r="B92" s="2"/>
      <c r="C92" s="2"/>
      <c r="D92" s="2"/>
      <c r="E92" s="2" t="s">
        <v>585</v>
      </c>
      <c r="F92" s="2" t="s">
        <v>426</v>
      </c>
      <c r="G92" s="22" t="s">
        <v>62</v>
      </c>
      <c r="H92" s="2" t="s">
        <v>586</v>
      </c>
      <c r="I92" s="2"/>
      <c r="J92" s="2"/>
      <c r="K92" s="2"/>
      <c r="L92" s="2"/>
      <c r="M92" s="2"/>
      <c r="N92" s="21" t="s">
        <v>62</v>
      </c>
      <c r="O92" s="20" t="s">
        <v>60</v>
      </c>
      <c r="P92" s="21" t="s">
        <v>62</v>
      </c>
    </row>
    <row r="93" spans="1:16" x14ac:dyDescent="0.25">
      <c r="A93" s="17">
        <f t="shared" si="1"/>
        <v>85</v>
      </c>
      <c r="B93" s="2" t="s">
        <v>587</v>
      </c>
      <c r="C93" s="2"/>
      <c r="D93" s="2"/>
      <c r="E93" s="2" t="s">
        <v>588</v>
      </c>
      <c r="F93" s="2" t="s">
        <v>416</v>
      </c>
      <c r="G93" s="22" t="s">
        <v>62</v>
      </c>
      <c r="H93" s="2" t="s">
        <v>589</v>
      </c>
      <c r="I93" s="2"/>
      <c r="J93" s="2"/>
      <c r="K93" s="2"/>
      <c r="L93" s="2"/>
      <c r="M93" s="2"/>
      <c r="N93" s="21" t="s">
        <v>62</v>
      </c>
      <c r="O93" s="20" t="s">
        <v>60</v>
      </c>
      <c r="P93" s="21" t="s">
        <v>62</v>
      </c>
    </row>
    <row r="94" spans="1:16" x14ac:dyDescent="0.25">
      <c r="A94" s="17">
        <f t="shared" si="1"/>
        <v>86</v>
      </c>
      <c r="B94" s="2" t="s">
        <v>587</v>
      </c>
      <c r="C94" s="2"/>
      <c r="D94" s="2"/>
      <c r="E94" s="2" t="s">
        <v>590</v>
      </c>
      <c r="F94" s="2" t="s">
        <v>411</v>
      </c>
      <c r="G94" s="22" t="s">
        <v>62</v>
      </c>
      <c r="H94" s="2" t="s">
        <v>591</v>
      </c>
      <c r="I94" s="2"/>
      <c r="J94" s="2"/>
      <c r="K94" s="2"/>
      <c r="L94" s="2"/>
      <c r="M94" s="2"/>
      <c r="N94" s="21" t="s">
        <v>62</v>
      </c>
      <c r="O94" s="20" t="s">
        <v>60</v>
      </c>
      <c r="P94" s="21" t="s">
        <v>62</v>
      </c>
    </row>
    <row r="95" spans="1:16" x14ac:dyDescent="0.25">
      <c r="A95" s="17">
        <f t="shared" si="1"/>
        <v>87</v>
      </c>
      <c r="B95" s="2" t="s">
        <v>587</v>
      </c>
      <c r="C95" s="2"/>
      <c r="D95" s="2"/>
      <c r="E95" s="2" t="s">
        <v>592</v>
      </c>
      <c r="F95" s="2" t="s">
        <v>426</v>
      </c>
      <c r="G95" s="22" t="s">
        <v>62</v>
      </c>
      <c r="H95" s="2" t="s">
        <v>593</v>
      </c>
      <c r="I95" s="2"/>
      <c r="J95" s="2"/>
      <c r="K95" s="2"/>
      <c r="L95" s="2"/>
      <c r="M95" s="2"/>
      <c r="N95" s="21" t="s">
        <v>62</v>
      </c>
      <c r="O95" s="20" t="s">
        <v>60</v>
      </c>
      <c r="P95" s="21" t="s">
        <v>62</v>
      </c>
    </row>
    <row r="96" spans="1:16" x14ac:dyDescent="0.25">
      <c r="A96" s="17">
        <f t="shared" si="1"/>
        <v>88</v>
      </c>
      <c r="B96" s="2"/>
      <c r="C96" s="2"/>
      <c r="D96" s="2"/>
      <c r="E96" s="2" t="s">
        <v>594</v>
      </c>
      <c r="F96" s="2" t="s">
        <v>426</v>
      </c>
      <c r="G96" s="22" t="s">
        <v>62</v>
      </c>
      <c r="H96" s="2" t="s">
        <v>595</v>
      </c>
      <c r="I96" s="2"/>
      <c r="J96" s="2"/>
      <c r="K96" s="2"/>
      <c r="L96" s="2"/>
      <c r="M96" s="2"/>
      <c r="N96" s="21" t="s">
        <v>62</v>
      </c>
      <c r="O96" s="20" t="s">
        <v>60</v>
      </c>
      <c r="P96" s="21" t="s">
        <v>60</v>
      </c>
    </row>
    <row r="97" spans="1:16" x14ac:dyDescent="0.25">
      <c r="A97" s="17">
        <f t="shared" si="1"/>
        <v>89</v>
      </c>
      <c r="B97" s="2" t="s">
        <v>596</v>
      </c>
      <c r="C97" s="2"/>
      <c r="D97" s="2"/>
      <c r="E97" s="2" t="s">
        <v>597</v>
      </c>
      <c r="F97" s="2" t="s">
        <v>419</v>
      </c>
      <c r="G97" s="22" t="s">
        <v>62</v>
      </c>
      <c r="H97" s="2" t="s">
        <v>598</v>
      </c>
      <c r="I97" s="2"/>
      <c r="J97" s="2"/>
      <c r="K97" s="2"/>
      <c r="L97" s="2"/>
      <c r="M97" s="2"/>
      <c r="N97" s="21" t="s">
        <v>62</v>
      </c>
      <c r="O97" s="20" t="s">
        <v>60</v>
      </c>
      <c r="P97" s="21" t="s">
        <v>62</v>
      </c>
    </row>
    <row r="98" spans="1:16" x14ac:dyDescent="0.25">
      <c r="A98" s="17">
        <f t="shared" si="1"/>
        <v>90</v>
      </c>
      <c r="B98" s="2" t="s">
        <v>596</v>
      </c>
      <c r="C98" s="2"/>
      <c r="D98" s="2"/>
      <c r="E98" s="2" t="s">
        <v>599</v>
      </c>
      <c r="F98" s="2" t="s">
        <v>419</v>
      </c>
      <c r="G98" s="22" t="s">
        <v>62</v>
      </c>
      <c r="H98" s="2" t="s">
        <v>600</v>
      </c>
      <c r="I98" s="2"/>
      <c r="J98" s="2"/>
      <c r="K98" s="2"/>
      <c r="L98" s="2"/>
      <c r="M98" s="2"/>
      <c r="N98" s="21" t="s">
        <v>62</v>
      </c>
      <c r="O98" s="20" t="s">
        <v>60</v>
      </c>
      <c r="P98" s="21" t="s">
        <v>62</v>
      </c>
    </row>
    <row r="99" spans="1:16" x14ac:dyDescent="0.25">
      <c r="A99" s="17">
        <f t="shared" si="1"/>
        <v>91</v>
      </c>
      <c r="B99" s="2"/>
      <c r="C99" s="2"/>
      <c r="D99" s="2"/>
      <c r="E99" s="2" t="s">
        <v>596</v>
      </c>
      <c r="F99" s="2" t="s">
        <v>411</v>
      </c>
      <c r="G99" s="22" t="s">
        <v>62</v>
      </c>
      <c r="H99" s="2" t="s">
        <v>601</v>
      </c>
      <c r="I99" s="2"/>
      <c r="J99" s="2"/>
      <c r="K99" s="2"/>
      <c r="L99" s="2"/>
      <c r="M99" s="2"/>
      <c r="N99" s="21" t="s">
        <v>62</v>
      </c>
      <c r="O99" s="20" t="s">
        <v>60</v>
      </c>
      <c r="P99" s="21" t="s">
        <v>62</v>
      </c>
    </row>
    <row r="100" spans="1:16" x14ac:dyDescent="0.25">
      <c r="A100" s="17">
        <f t="shared" si="1"/>
        <v>92</v>
      </c>
      <c r="B100" s="2"/>
      <c r="C100" s="2"/>
      <c r="D100" s="2"/>
      <c r="E100" s="2" t="s">
        <v>602</v>
      </c>
      <c r="F100" s="2" t="s">
        <v>419</v>
      </c>
      <c r="G100" s="22" t="s">
        <v>62</v>
      </c>
      <c r="H100" s="2" t="s">
        <v>603</v>
      </c>
      <c r="I100" s="2"/>
      <c r="J100" s="2"/>
      <c r="K100" s="2"/>
      <c r="L100" s="2"/>
      <c r="M100" s="2"/>
      <c r="N100" s="21" t="s">
        <v>62</v>
      </c>
      <c r="O100" s="20" t="s">
        <v>62</v>
      </c>
      <c r="P100" s="21" t="s">
        <v>60</v>
      </c>
    </row>
    <row r="101" spans="1:16" x14ac:dyDescent="0.25">
      <c r="A101" s="17">
        <f t="shared" si="1"/>
        <v>93</v>
      </c>
      <c r="B101" s="2"/>
      <c r="C101" s="2"/>
      <c r="D101" s="2"/>
      <c r="E101" s="2" t="s">
        <v>604</v>
      </c>
      <c r="F101" s="2" t="s">
        <v>419</v>
      </c>
      <c r="G101" s="22" t="s">
        <v>62</v>
      </c>
      <c r="H101" s="2" t="s">
        <v>605</v>
      </c>
      <c r="I101" s="2"/>
      <c r="J101" s="2"/>
      <c r="K101" s="2"/>
      <c r="L101" s="2"/>
      <c r="M101" s="2"/>
      <c r="N101" s="21" t="s">
        <v>62</v>
      </c>
      <c r="O101" s="20" t="s">
        <v>60</v>
      </c>
      <c r="P101" s="21" t="s">
        <v>62</v>
      </c>
    </row>
    <row r="102" spans="1:16" x14ac:dyDescent="0.25">
      <c r="A102" s="17">
        <f t="shared" si="1"/>
        <v>94</v>
      </c>
      <c r="B102" s="2" t="s">
        <v>606</v>
      </c>
      <c r="C102" s="2"/>
      <c r="D102" s="2"/>
      <c r="E102" s="2" t="s">
        <v>607</v>
      </c>
      <c r="F102" s="2" t="s">
        <v>436</v>
      </c>
      <c r="G102" s="22" t="s">
        <v>62</v>
      </c>
      <c r="H102" s="2" t="s">
        <v>608</v>
      </c>
      <c r="I102" s="2"/>
      <c r="J102" s="2"/>
      <c r="K102" s="2"/>
      <c r="L102" s="2"/>
      <c r="M102" s="2"/>
      <c r="N102" s="21" t="s">
        <v>62</v>
      </c>
      <c r="O102" s="20" t="s">
        <v>60</v>
      </c>
      <c r="P102" s="21" t="s">
        <v>62</v>
      </c>
    </row>
    <row r="103" spans="1:16" x14ac:dyDescent="0.25">
      <c r="A103" s="17">
        <f t="shared" si="1"/>
        <v>95</v>
      </c>
      <c r="B103" s="2" t="s">
        <v>606</v>
      </c>
      <c r="C103" s="2"/>
      <c r="D103" s="2"/>
      <c r="E103" s="2" t="s">
        <v>609</v>
      </c>
      <c r="F103" s="2" t="s">
        <v>419</v>
      </c>
      <c r="G103" s="22" t="s">
        <v>62</v>
      </c>
      <c r="H103" s="2" t="s">
        <v>610</v>
      </c>
      <c r="I103" s="2"/>
      <c r="J103" s="2"/>
      <c r="K103" s="2"/>
      <c r="L103" s="2"/>
      <c r="M103" s="2"/>
      <c r="N103" s="21" t="s">
        <v>62</v>
      </c>
      <c r="O103" s="20" t="s">
        <v>60</v>
      </c>
      <c r="P103" s="21" t="s">
        <v>62</v>
      </c>
    </row>
    <row r="104" spans="1:16" x14ac:dyDescent="0.25">
      <c r="A104" s="17">
        <f t="shared" si="1"/>
        <v>96</v>
      </c>
      <c r="B104" s="2" t="s">
        <v>606</v>
      </c>
      <c r="C104" s="2"/>
      <c r="D104" s="2"/>
      <c r="E104" s="2" t="s">
        <v>611</v>
      </c>
      <c r="F104" s="2" t="s">
        <v>426</v>
      </c>
      <c r="G104" s="22" t="s">
        <v>62</v>
      </c>
      <c r="H104" s="2" t="s">
        <v>612</v>
      </c>
      <c r="I104" s="2"/>
      <c r="J104" s="2"/>
      <c r="K104" s="2"/>
      <c r="L104" s="2"/>
      <c r="M104" s="2"/>
      <c r="N104" s="21" t="s">
        <v>62</v>
      </c>
      <c r="O104" s="20" t="s">
        <v>60</v>
      </c>
      <c r="P104" s="21" t="s">
        <v>62</v>
      </c>
    </row>
    <row r="105" spans="1:16" x14ac:dyDescent="0.25">
      <c r="A105" s="17">
        <f t="shared" si="1"/>
        <v>97</v>
      </c>
      <c r="B105" s="2"/>
      <c r="C105" s="2"/>
      <c r="D105" s="2"/>
      <c r="E105" s="2"/>
      <c r="F105" s="2" t="s">
        <v>411</v>
      </c>
      <c r="G105" s="22" t="s">
        <v>62</v>
      </c>
      <c r="H105" s="2" t="s">
        <v>606</v>
      </c>
      <c r="I105" s="2"/>
      <c r="J105" s="2"/>
      <c r="K105" s="2"/>
      <c r="L105" s="2"/>
      <c r="M105" s="2"/>
      <c r="N105" s="21" t="s">
        <v>62</v>
      </c>
      <c r="O105" s="20" t="s">
        <v>60</v>
      </c>
      <c r="P105" s="21" t="s">
        <v>62</v>
      </c>
    </row>
    <row r="106" spans="1:16" x14ac:dyDescent="0.25">
      <c r="A106" s="17">
        <f t="shared" si="1"/>
        <v>98</v>
      </c>
      <c r="B106" s="2"/>
      <c r="C106" s="2"/>
      <c r="D106" s="2"/>
      <c r="E106" s="2" t="s">
        <v>613</v>
      </c>
      <c r="F106" s="2" t="s">
        <v>416</v>
      </c>
      <c r="G106" s="22" t="s">
        <v>62</v>
      </c>
      <c r="H106" s="2" t="s">
        <v>614</v>
      </c>
      <c r="I106" s="2"/>
      <c r="J106" s="2"/>
      <c r="K106" s="2"/>
      <c r="L106" s="2"/>
      <c r="M106" s="2"/>
      <c r="N106" s="21" t="s">
        <v>62</v>
      </c>
      <c r="O106" s="20" t="s">
        <v>60</v>
      </c>
      <c r="P106" s="21" t="s">
        <v>62</v>
      </c>
    </row>
    <row r="107" spans="1:16" x14ac:dyDescent="0.25">
      <c r="A107" s="17">
        <f t="shared" si="1"/>
        <v>99</v>
      </c>
      <c r="B107" s="2"/>
      <c r="C107" s="2"/>
      <c r="D107" s="2"/>
      <c r="E107" s="2" t="s">
        <v>615</v>
      </c>
      <c r="F107" s="2" t="s">
        <v>436</v>
      </c>
      <c r="G107" s="22" t="s">
        <v>62</v>
      </c>
      <c r="H107" s="2" t="s">
        <v>616</v>
      </c>
      <c r="I107" s="2"/>
      <c r="J107" s="2"/>
      <c r="K107" s="2"/>
      <c r="L107" s="2"/>
      <c r="M107" s="2"/>
      <c r="N107" s="21" t="s">
        <v>62</v>
      </c>
      <c r="O107" s="20" t="s">
        <v>60</v>
      </c>
      <c r="P107" s="21" t="s">
        <v>62</v>
      </c>
    </row>
    <row r="108" spans="1:16" x14ac:dyDescent="0.25">
      <c r="A108" s="17">
        <f t="shared" si="1"/>
        <v>100</v>
      </c>
      <c r="B108" s="2"/>
      <c r="C108" s="2"/>
      <c r="D108" s="2"/>
      <c r="E108" s="2" t="s">
        <v>617</v>
      </c>
      <c r="F108" s="2" t="s">
        <v>426</v>
      </c>
      <c r="G108" s="22" t="s">
        <v>62</v>
      </c>
      <c r="H108" s="2" t="s">
        <v>618</v>
      </c>
      <c r="I108" s="2"/>
      <c r="J108" s="2"/>
      <c r="K108" s="2"/>
      <c r="L108" s="2"/>
      <c r="M108" s="2"/>
      <c r="N108" s="21" t="s">
        <v>62</v>
      </c>
      <c r="O108" s="20" t="s">
        <v>60</v>
      </c>
      <c r="P108" s="21" t="s">
        <v>60</v>
      </c>
    </row>
    <row r="109" spans="1:16" x14ac:dyDescent="0.25">
      <c r="A109" s="17">
        <f t="shared" si="1"/>
        <v>101</v>
      </c>
      <c r="B109" s="2"/>
      <c r="C109" s="2"/>
      <c r="D109" s="2"/>
      <c r="E109" s="2" t="s">
        <v>619</v>
      </c>
      <c r="F109" s="2" t="s">
        <v>426</v>
      </c>
      <c r="G109" s="22" t="s">
        <v>62</v>
      </c>
      <c r="H109" s="2" t="s">
        <v>620</v>
      </c>
      <c r="I109" s="2"/>
      <c r="J109" s="2"/>
      <c r="K109" s="2"/>
      <c r="L109" s="2"/>
      <c r="M109" s="2"/>
      <c r="N109" s="21" t="s">
        <v>62</v>
      </c>
      <c r="O109" s="20" t="s">
        <v>60</v>
      </c>
      <c r="P109" s="21" t="s">
        <v>62</v>
      </c>
    </row>
    <row r="110" spans="1:16" x14ac:dyDescent="0.25">
      <c r="A110" s="17">
        <f t="shared" si="1"/>
        <v>102</v>
      </c>
      <c r="B110" s="2"/>
      <c r="C110" s="2"/>
      <c r="D110" s="2"/>
      <c r="E110" s="2" t="s">
        <v>621</v>
      </c>
      <c r="F110" s="2" t="s">
        <v>426</v>
      </c>
      <c r="G110" s="22" t="s">
        <v>62</v>
      </c>
      <c r="H110" s="2" t="s">
        <v>622</v>
      </c>
      <c r="I110" s="2"/>
      <c r="J110" s="2"/>
      <c r="K110" s="2"/>
      <c r="L110" s="2"/>
      <c r="M110" s="2"/>
      <c r="N110" s="21" t="s">
        <v>62</v>
      </c>
      <c r="O110" s="20" t="s">
        <v>60</v>
      </c>
      <c r="P110" s="21" t="s">
        <v>62</v>
      </c>
    </row>
    <row r="111" spans="1:16" x14ac:dyDescent="0.25">
      <c r="A111" s="17">
        <f t="shared" si="1"/>
        <v>103</v>
      </c>
      <c r="B111" s="2"/>
      <c r="C111" s="2"/>
      <c r="D111" s="2"/>
      <c r="E111" s="2" t="s">
        <v>623</v>
      </c>
      <c r="F111" s="2" t="s">
        <v>426</v>
      </c>
      <c r="G111" s="22" t="s">
        <v>62</v>
      </c>
      <c r="H111" s="2" t="s">
        <v>624</v>
      </c>
      <c r="I111" s="2"/>
      <c r="J111" s="2"/>
      <c r="K111" s="2"/>
      <c r="L111" s="2"/>
      <c r="M111" s="2"/>
      <c r="N111" s="21" t="s">
        <v>62</v>
      </c>
      <c r="O111" s="20" t="s">
        <v>60</v>
      </c>
      <c r="P111" s="21" t="s">
        <v>62</v>
      </c>
    </row>
    <row r="112" spans="1:16" x14ac:dyDescent="0.25">
      <c r="A112" s="17">
        <f t="shared" si="1"/>
        <v>104</v>
      </c>
      <c r="B112" s="2"/>
      <c r="C112" s="2"/>
      <c r="D112" s="2"/>
      <c r="E112" s="2" t="s">
        <v>625</v>
      </c>
      <c r="F112" s="2" t="s">
        <v>411</v>
      </c>
      <c r="G112" s="22" t="s">
        <v>62</v>
      </c>
      <c r="H112" s="2" t="s">
        <v>626</v>
      </c>
      <c r="I112" s="2"/>
      <c r="J112" s="2"/>
      <c r="K112" s="2"/>
      <c r="L112" s="2"/>
      <c r="M112" s="2"/>
      <c r="N112" s="21" t="s">
        <v>62</v>
      </c>
      <c r="O112" s="20" t="s">
        <v>62</v>
      </c>
      <c r="P112" s="21" t="s">
        <v>60</v>
      </c>
    </row>
    <row r="113" spans="1:16" x14ac:dyDescent="0.25">
      <c r="A113" s="17">
        <f t="shared" si="1"/>
        <v>105</v>
      </c>
      <c r="B113" s="2"/>
      <c r="C113" s="2"/>
      <c r="D113" s="2"/>
      <c r="E113" s="2" t="s">
        <v>627</v>
      </c>
      <c r="F113" s="2" t="s">
        <v>436</v>
      </c>
      <c r="G113" s="22" t="s">
        <v>62</v>
      </c>
      <c r="H113" s="2" t="s">
        <v>628</v>
      </c>
      <c r="I113" s="2"/>
      <c r="J113" s="2"/>
      <c r="K113" s="2"/>
      <c r="L113" s="2"/>
      <c r="M113" s="2"/>
      <c r="N113" s="21" t="s">
        <v>62</v>
      </c>
      <c r="O113" s="20" t="s">
        <v>62</v>
      </c>
      <c r="P113" s="21" t="s">
        <v>60</v>
      </c>
    </row>
    <row r="114" spans="1:16" x14ac:dyDescent="0.25">
      <c r="A114" s="17">
        <f t="shared" si="1"/>
        <v>106</v>
      </c>
      <c r="B114" s="2"/>
      <c r="C114" s="2"/>
      <c r="D114" s="2"/>
      <c r="E114" s="2" t="s">
        <v>629</v>
      </c>
      <c r="F114" s="2" t="s">
        <v>426</v>
      </c>
      <c r="G114" s="22" t="s">
        <v>62</v>
      </c>
      <c r="H114" s="2" t="s">
        <v>630</v>
      </c>
      <c r="I114" s="2"/>
      <c r="J114" s="2"/>
      <c r="K114" s="2"/>
      <c r="L114" s="2"/>
      <c r="M114" s="2"/>
      <c r="N114" s="21" t="s">
        <v>62</v>
      </c>
      <c r="O114" s="20" t="s">
        <v>62</v>
      </c>
      <c r="P114" s="21" t="s">
        <v>60</v>
      </c>
    </row>
    <row r="115" spans="1:16" x14ac:dyDescent="0.25">
      <c r="A115" s="17">
        <f t="shared" si="1"/>
        <v>107</v>
      </c>
      <c r="B115" s="2"/>
      <c r="C115" s="2"/>
      <c r="D115" s="2"/>
      <c r="E115" s="2" t="s">
        <v>631</v>
      </c>
      <c r="F115" s="2" t="s">
        <v>426</v>
      </c>
      <c r="G115" s="22" t="s">
        <v>62</v>
      </c>
      <c r="H115" s="2" t="s">
        <v>632</v>
      </c>
      <c r="I115" s="2"/>
      <c r="J115" s="2"/>
      <c r="K115" s="2"/>
      <c r="L115" s="2"/>
      <c r="M115" s="2"/>
      <c r="N115" s="21" t="s">
        <v>62</v>
      </c>
      <c r="O115" s="20" t="s">
        <v>62</v>
      </c>
      <c r="P115" s="21" t="s">
        <v>60</v>
      </c>
    </row>
    <row r="116" spans="1:16" x14ac:dyDescent="0.25">
      <c r="A116" s="17">
        <f t="shared" si="1"/>
        <v>108</v>
      </c>
      <c r="B116" s="2"/>
      <c r="C116" s="2"/>
      <c r="D116" s="2"/>
      <c r="E116" s="2" t="s">
        <v>543</v>
      </c>
      <c r="F116" s="2" t="s">
        <v>416</v>
      </c>
      <c r="G116" s="22" t="s">
        <v>62</v>
      </c>
      <c r="H116" s="2" t="s">
        <v>633</v>
      </c>
      <c r="I116" s="2"/>
      <c r="J116" s="2"/>
      <c r="K116" s="2"/>
      <c r="L116" s="2"/>
      <c r="M116" s="2"/>
      <c r="N116" s="21" t="s">
        <v>62</v>
      </c>
      <c r="O116" s="20" t="s">
        <v>62</v>
      </c>
      <c r="P116" s="21" t="s">
        <v>60</v>
      </c>
    </row>
    <row r="117" spans="1:16" x14ac:dyDescent="0.25">
      <c r="A117" s="17">
        <f t="shared" si="1"/>
        <v>109</v>
      </c>
      <c r="B117" s="2" t="s">
        <v>634</v>
      </c>
      <c r="C117" s="2"/>
      <c r="D117" s="2"/>
      <c r="E117" s="2" t="s">
        <v>635</v>
      </c>
      <c r="F117" s="2" t="s">
        <v>419</v>
      </c>
      <c r="G117" s="22" t="s">
        <v>62</v>
      </c>
      <c r="H117" s="2" t="s">
        <v>634</v>
      </c>
      <c r="I117" s="2"/>
      <c r="J117" s="2"/>
      <c r="K117" s="2"/>
      <c r="L117" s="2"/>
      <c r="M117" s="2"/>
      <c r="N117" s="21" t="s">
        <v>62</v>
      </c>
      <c r="O117" s="20" t="s">
        <v>62</v>
      </c>
      <c r="P117" s="21" t="s">
        <v>60</v>
      </c>
    </row>
    <row r="118" spans="1:16" x14ac:dyDescent="0.25">
      <c r="A118" s="17">
        <f t="shared" si="1"/>
        <v>110</v>
      </c>
      <c r="B118" s="2"/>
      <c r="C118" s="2"/>
      <c r="D118" s="2"/>
      <c r="E118" s="2" t="s">
        <v>636</v>
      </c>
      <c r="F118" s="2" t="s">
        <v>416</v>
      </c>
      <c r="G118" s="22" t="s">
        <v>62</v>
      </c>
      <c r="H118" s="2" t="s">
        <v>637</v>
      </c>
      <c r="I118" s="2"/>
      <c r="J118" s="2"/>
      <c r="K118" s="2"/>
      <c r="L118" s="2"/>
      <c r="M118" s="2"/>
      <c r="N118" s="21" t="s">
        <v>62</v>
      </c>
      <c r="O118" s="20" t="s">
        <v>60</v>
      </c>
      <c r="P118" s="21" t="s">
        <v>62</v>
      </c>
    </row>
    <row r="119" spans="1:16" x14ac:dyDescent="0.25">
      <c r="A119" s="17">
        <f t="shared" si="1"/>
        <v>111</v>
      </c>
      <c r="B119" s="2"/>
      <c r="C119" s="2"/>
      <c r="D119" s="2"/>
      <c r="E119" s="2" t="s">
        <v>638</v>
      </c>
      <c r="F119" s="2" t="s">
        <v>416</v>
      </c>
      <c r="G119" s="22" t="s">
        <v>62</v>
      </c>
      <c r="H119" s="2" t="s">
        <v>639</v>
      </c>
      <c r="I119" s="2"/>
      <c r="J119" s="2"/>
      <c r="K119" s="2"/>
      <c r="L119" s="2"/>
      <c r="M119" s="2"/>
      <c r="N119" s="21" t="s">
        <v>62</v>
      </c>
      <c r="O119" s="20" t="s">
        <v>60</v>
      </c>
      <c r="P119" s="21" t="s">
        <v>62</v>
      </c>
    </row>
    <row r="120" spans="1:16" x14ac:dyDescent="0.25">
      <c r="A120" s="17">
        <f t="shared" si="1"/>
        <v>112</v>
      </c>
      <c r="B120" s="2"/>
      <c r="C120" s="2"/>
      <c r="D120" s="2"/>
      <c r="E120" s="2" t="s">
        <v>640</v>
      </c>
      <c r="F120" s="2" t="s">
        <v>416</v>
      </c>
      <c r="G120" s="22" t="s">
        <v>62</v>
      </c>
      <c r="H120" s="2" t="s">
        <v>641</v>
      </c>
      <c r="I120" s="2"/>
      <c r="J120" s="2"/>
      <c r="K120" s="2"/>
      <c r="L120" s="2"/>
      <c r="M120" s="2"/>
      <c r="N120" s="21" t="s">
        <v>62</v>
      </c>
      <c r="O120" s="20" t="s">
        <v>60</v>
      </c>
      <c r="P120" s="21" t="s">
        <v>62</v>
      </c>
    </row>
    <row r="121" spans="1:16" x14ac:dyDescent="0.25">
      <c r="A121" s="17">
        <f t="shared" si="1"/>
        <v>113</v>
      </c>
      <c r="B121" s="2"/>
      <c r="C121" s="2"/>
      <c r="D121" s="2"/>
      <c r="E121" s="2" t="s">
        <v>642</v>
      </c>
      <c r="F121" s="2" t="s">
        <v>411</v>
      </c>
      <c r="G121" s="22" t="s">
        <v>62</v>
      </c>
      <c r="H121" s="2" t="s">
        <v>643</v>
      </c>
      <c r="I121" s="2"/>
      <c r="J121" s="2"/>
      <c r="K121" s="2"/>
      <c r="L121" s="2"/>
      <c r="M121" s="2"/>
      <c r="N121" s="21" t="s">
        <v>62</v>
      </c>
      <c r="O121" s="20" t="s">
        <v>60</v>
      </c>
      <c r="P121" s="21" t="s">
        <v>62</v>
      </c>
    </row>
    <row r="122" spans="1:16" x14ac:dyDescent="0.25">
      <c r="A122" s="17">
        <f t="shared" si="1"/>
        <v>114</v>
      </c>
      <c r="B122" s="2"/>
      <c r="C122" s="2"/>
      <c r="D122" s="2"/>
      <c r="E122" s="2" t="s">
        <v>644</v>
      </c>
      <c r="F122" s="2" t="s">
        <v>436</v>
      </c>
      <c r="G122" s="22" t="s">
        <v>62</v>
      </c>
      <c r="H122" s="2" t="s">
        <v>645</v>
      </c>
      <c r="I122" s="2"/>
      <c r="J122" s="2"/>
      <c r="K122" s="2"/>
      <c r="L122" s="2"/>
      <c r="M122" s="2"/>
      <c r="N122" s="21" t="s">
        <v>62</v>
      </c>
      <c r="O122" s="20" t="s">
        <v>60</v>
      </c>
      <c r="P122" s="21" t="s">
        <v>62</v>
      </c>
    </row>
    <row r="123" spans="1:16" x14ac:dyDescent="0.25">
      <c r="A123" s="17">
        <f t="shared" si="1"/>
        <v>115</v>
      </c>
      <c r="B123" s="2"/>
      <c r="C123" s="2"/>
      <c r="D123" s="2"/>
      <c r="E123" s="2" t="s">
        <v>646</v>
      </c>
      <c r="F123" s="2" t="s">
        <v>451</v>
      </c>
      <c r="G123" s="22" t="s">
        <v>62</v>
      </c>
      <c r="H123" s="2" t="s">
        <v>647</v>
      </c>
      <c r="I123" s="2"/>
      <c r="J123" s="2"/>
      <c r="K123" s="2"/>
      <c r="L123" s="2"/>
      <c r="M123" s="2"/>
      <c r="N123" s="21" t="s">
        <v>62</v>
      </c>
      <c r="O123" s="20" t="s">
        <v>60</v>
      </c>
      <c r="P123" s="21" t="s">
        <v>60</v>
      </c>
    </row>
    <row r="124" spans="1:16" x14ac:dyDescent="0.25">
      <c r="A124" s="17">
        <f t="shared" si="1"/>
        <v>116</v>
      </c>
      <c r="B124" s="2"/>
      <c r="C124" s="2"/>
      <c r="D124" s="2"/>
      <c r="E124" s="2" t="s">
        <v>648</v>
      </c>
      <c r="F124" s="2" t="s">
        <v>411</v>
      </c>
      <c r="G124" s="22" t="s">
        <v>62</v>
      </c>
      <c r="H124" s="2" t="s">
        <v>649</v>
      </c>
      <c r="I124" s="2"/>
      <c r="J124" s="2"/>
      <c r="K124" s="2"/>
      <c r="L124" s="2"/>
      <c r="M124" s="2"/>
      <c r="N124" s="21" t="s">
        <v>62</v>
      </c>
      <c r="O124" s="20" t="s">
        <v>60</v>
      </c>
      <c r="P124" s="21" t="s">
        <v>60</v>
      </c>
    </row>
    <row r="125" spans="1:16" x14ac:dyDescent="0.25">
      <c r="A125" s="17">
        <f t="shared" si="1"/>
        <v>117</v>
      </c>
      <c r="B125" s="2"/>
      <c r="C125" s="2"/>
      <c r="D125" s="2"/>
      <c r="E125" s="2" t="s">
        <v>650</v>
      </c>
      <c r="F125" s="2" t="s">
        <v>416</v>
      </c>
      <c r="G125" s="22" t="s">
        <v>62</v>
      </c>
      <c r="H125" s="2" t="s">
        <v>651</v>
      </c>
      <c r="I125" s="2"/>
      <c r="J125" s="2"/>
      <c r="K125" s="2"/>
      <c r="L125" s="2"/>
      <c r="M125" s="2"/>
      <c r="N125" s="21" t="s">
        <v>62</v>
      </c>
      <c r="O125" s="20" t="s">
        <v>60</v>
      </c>
      <c r="P125" s="21" t="s">
        <v>60</v>
      </c>
    </row>
    <row r="126" spans="1:16" x14ac:dyDescent="0.25">
      <c r="A126" s="17">
        <f t="shared" si="1"/>
        <v>118</v>
      </c>
      <c r="B126" s="2"/>
      <c r="C126" s="2"/>
      <c r="D126" s="2"/>
      <c r="E126" s="2" t="s">
        <v>652</v>
      </c>
      <c r="F126" s="2" t="s">
        <v>416</v>
      </c>
      <c r="G126" s="22" t="s">
        <v>62</v>
      </c>
      <c r="H126" s="2" t="s">
        <v>653</v>
      </c>
      <c r="I126" s="2"/>
      <c r="J126" s="2"/>
      <c r="K126" s="2"/>
      <c r="L126" s="2"/>
      <c r="M126" s="2"/>
      <c r="N126" s="21" t="s">
        <v>62</v>
      </c>
      <c r="O126" s="20" t="s">
        <v>60</v>
      </c>
      <c r="P126" s="21" t="s">
        <v>62</v>
      </c>
    </row>
    <row r="127" spans="1:16" x14ac:dyDescent="0.25">
      <c r="A127" s="17">
        <f t="shared" si="1"/>
        <v>119</v>
      </c>
      <c r="B127" s="2"/>
      <c r="C127" s="2"/>
      <c r="D127" s="2"/>
      <c r="E127" s="2" t="s">
        <v>654</v>
      </c>
      <c r="F127" s="2" t="s">
        <v>419</v>
      </c>
      <c r="G127" s="22" t="s">
        <v>62</v>
      </c>
      <c r="H127" s="2" t="s">
        <v>655</v>
      </c>
      <c r="I127" s="2"/>
      <c r="J127" s="2"/>
      <c r="K127" s="2"/>
      <c r="L127" s="2"/>
      <c r="M127" s="2"/>
      <c r="N127" s="21" t="s">
        <v>62</v>
      </c>
      <c r="O127" s="20" t="s">
        <v>60</v>
      </c>
      <c r="P127" s="21" t="s">
        <v>62</v>
      </c>
    </row>
    <row r="128" spans="1:16" x14ac:dyDescent="0.25">
      <c r="A128" s="17">
        <f t="shared" si="1"/>
        <v>120</v>
      </c>
      <c r="B128" s="2"/>
      <c r="C128" s="2"/>
      <c r="D128" s="2"/>
      <c r="E128" s="2" t="s">
        <v>656</v>
      </c>
      <c r="F128" s="2" t="s">
        <v>419</v>
      </c>
      <c r="G128" s="22" t="s">
        <v>62</v>
      </c>
      <c r="H128" s="2" t="s">
        <v>657</v>
      </c>
      <c r="I128" s="2"/>
      <c r="J128" s="2"/>
      <c r="K128" s="2"/>
      <c r="L128" s="2"/>
      <c r="M128" s="2"/>
      <c r="N128" s="21" t="s">
        <v>62</v>
      </c>
      <c r="O128" s="20" t="s">
        <v>60</v>
      </c>
      <c r="P128" s="21" t="s">
        <v>62</v>
      </c>
    </row>
    <row r="129" spans="1:15" ht="16.5" customHeight="1" x14ac:dyDescent="0.3">
      <c r="A129" s="71" t="s">
        <v>305</v>
      </c>
      <c r="B129" s="71"/>
      <c r="C129" s="71"/>
      <c r="D129" s="71"/>
      <c r="E129" s="71"/>
      <c r="F129" s="71"/>
      <c r="G129" s="71"/>
      <c r="H129" s="71"/>
      <c r="I129" s="71"/>
      <c r="J129" s="71"/>
      <c r="K129" s="71"/>
      <c r="L129" s="71"/>
      <c r="M129" s="71"/>
      <c r="N129" s="71"/>
      <c r="O129" s="19"/>
    </row>
    <row r="130" spans="1:15" x14ac:dyDescent="0.25">
      <c r="A130" s="7">
        <v>1</v>
      </c>
      <c r="B130" s="7"/>
      <c r="C130" s="7"/>
      <c r="D130" s="7"/>
      <c r="E130" s="2" t="s">
        <v>340</v>
      </c>
      <c r="F130" s="2" t="s">
        <v>76</v>
      </c>
      <c r="G130" s="12" t="s">
        <v>60</v>
      </c>
      <c r="H130" s="3" t="s">
        <v>341</v>
      </c>
      <c r="I130" s="2"/>
      <c r="J130" s="2"/>
      <c r="K130" s="2"/>
      <c r="L130" s="2"/>
      <c r="M130" s="2"/>
      <c r="N130" s="2"/>
    </row>
    <row r="131" spans="1:15" x14ac:dyDescent="0.25">
      <c r="A131" s="7">
        <f>A130+1</f>
        <v>2</v>
      </c>
      <c r="B131" s="7" t="s">
        <v>658</v>
      </c>
      <c r="C131" s="7"/>
      <c r="D131" s="7"/>
      <c r="E131" s="2" t="s">
        <v>659</v>
      </c>
      <c r="F131" s="2" t="s">
        <v>59</v>
      </c>
      <c r="G131" s="2"/>
      <c r="H131" s="3"/>
      <c r="I131" s="2"/>
      <c r="J131" s="2"/>
      <c r="K131" s="2"/>
      <c r="L131" s="2"/>
      <c r="M131" s="2"/>
      <c r="N131" s="2"/>
    </row>
    <row r="132" spans="1:15" x14ac:dyDescent="0.25">
      <c r="A132" s="7">
        <f t="shared" ref="A132:A136" si="2">A131+1</f>
        <v>3</v>
      </c>
      <c r="B132" s="7" t="s">
        <v>658</v>
      </c>
      <c r="C132" s="7"/>
      <c r="D132" s="7"/>
      <c r="E132" s="2" t="s">
        <v>660</v>
      </c>
      <c r="F132" s="2" t="s">
        <v>59</v>
      </c>
      <c r="G132" s="2"/>
      <c r="H132" s="3"/>
      <c r="I132" s="2"/>
      <c r="J132" s="2"/>
      <c r="K132" s="2"/>
      <c r="L132" s="2"/>
      <c r="M132" s="2"/>
      <c r="N132" s="2"/>
    </row>
    <row r="133" spans="1:15" x14ac:dyDescent="0.25">
      <c r="A133" s="7">
        <f t="shared" si="2"/>
        <v>4</v>
      </c>
      <c r="B133" s="7" t="s">
        <v>658</v>
      </c>
      <c r="C133" s="7"/>
      <c r="D133" s="7"/>
      <c r="E133" s="2" t="s">
        <v>661</v>
      </c>
      <c r="F133" s="2" t="s">
        <v>94</v>
      </c>
      <c r="G133" s="2"/>
      <c r="H133" s="3"/>
      <c r="I133" s="2"/>
      <c r="J133" s="2"/>
      <c r="K133" s="2"/>
      <c r="L133" s="2"/>
      <c r="M133" s="2"/>
      <c r="N133" s="2"/>
    </row>
    <row r="134" spans="1:15" x14ac:dyDescent="0.25">
      <c r="A134" s="7">
        <f t="shared" si="2"/>
        <v>5</v>
      </c>
      <c r="B134" s="7" t="s">
        <v>658</v>
      </c>
      <c r="C134" s="7"/>
      <c r="D134" s="7"/>
      <c r="E134" s="2" t="s">
        <v>662</v>
      </c>
      <c r="F134" s="2" t="s">
        <v>59</v>
      </c>
      <c r="G134" s="2"/>
      <c r="H134" s="3"/>
      <c r="I134" s="2"/>
      <c r="J134" s="2"/>
      <c r="K134" s="2"/>
      <c r="L134" s="2"/>
      <c r="M134" s="2"/>
      <c r="N134" s="2"/>
    </row>
    <row r="135" spans="1:15" ht="105" x14ac:dyDescent="0.25">
      <c r="A135" s="7">
        <f t="shared" si="2"/>
        <v>6</v>
      </c>
      <c r="B135" s="7" t="s">
        <v>378</v>
      </c>
      <c r="C135" s="7"/>
      <c r="D135" s="7"/>
      <c r="E135" s="2" t="s">
        <v>101</v>
      </c>
      <c r="F135" s="2" t="s">
        <v>59</v>
      </c>
      <c r="G135" s="2"/>
      <c r="H135" s="3" t="s">
        <v>360</v>
      </c>
      <c r="I135" s="2"/>
      <c r="J135" s="2"/>
      <c r="K135" s="2"/>
      <c r="L135" s="2"/>
      <c r="M135" s="3" t="s">
        <v>663</v>
      </c>
      <c r="N135" s="2"/>
    </row>
    <row r="136" spans="1:15" x14ac:dyDescent="0.25">
      <c r="A136" s="7">
        <f t="shared" si="2"/>
        <v>7</v>
      </c>
      <c r="B136" s="2"/>
      <c r="C136" s="2"/>
      <c r="D136" s="2"/>
      <c r="E136" s="2" t="s">
        <v>664</v>
      </c>
      <c r="F136" s="2" t="s">
        <v>59</v>
      </c>
      <c r="G136" s="12" t="s">
        <v>60</v>
      </c>
      <c r="H136" s="2" t="s">
        <v>665</v>
      </c>
      <c r="I136" s="2"/>
      <c r="J136" s="2"/>
      <c r="K136" s="2"/>
      <c r="L136" s="2"/>
      <c r="M136" s="2"/>
      <c r="N136" s="2"/>
    </row>
    <row r="137" spans="1:15" x14ac:dyDescent="0.25">
      <c r="A137" s="14" t="s">
        <v>108</v>
      </c>
    </row>
    <row r="141" spans="1:15" x14ac:dyDescent="0.25">
      <c r="B141" s="8" t="s">
        <v>666</v>
      </c>
    </row>
    <row r="142" spans="1:15" x14ac:dyDescent="0.25">
      <c r="A142" s="4" t="s">
        <v>60</v>
      </c>
      <c r="B142" s="8" t="s">
        <v>667</v>
      </c>
    </row>
    <row r="143" spans="1:15" x14ac:dyDescent="0.25">
      <c r="A143" s="4" t="s">
        <v>60</v>
      </c>
      <c r="B143" s="8" t="s">
        <v>668</v>
      </c>
    </row>
    <row r="144" spans="1:15" x14ac:dyDescent="0.25">
      <c r="A144" s="4" t="s">
        <v>60</v>
      </c>
      <c r="B144" s="8" t="s">
        <v>669</v>
      </c>
    </row>
    <row r="145" spans="1:2" x14ac:dyDescent="0.25">
      <c r="A145" s="4" t="s">
        <v>60</v>
      </c>
      <c r="B145" s="8" t="s">
        <v>670</v>
      </c>
    </row>
    <row r="146" spans="1:2" x14ac:dyDescent="0.25">
      <c r="A146" s="4" t="s">
        <v>60</v>
      </c>
      <c r="B146" s="8" t="s">
        <v>671</v>
      </c>
    </row>
    <row r="147" spans="1:2" x14ac:dyDescent="0.25">
      <c r="A147" s="4" t="s">
        <v>60</v>
      </c>
      <c r="B147" s="8" t="s">
        <v>672</v>
      </c>
    </row>
    <row r="148" spans="1:2" x14ac:dyDescent="0.25">
      <c r="A148" s="4" t="s">
        <v>60</v>
      </c>
      <c r="B148" s="8" t="s">
        <v>673</v>
      </c>
    </row>
    <row r="149" spans="1:2" x14ac:dyDescent="0.25">
      <c r="A149" s="4" t="s">
        <v>60</v>
      </c>
      <c r="B149" s="8" t="s">
        <v>674</v>
      </c>
    </row>
    <row r="150" spans="1:2" x14ac:dyDescent="0.25">
      <c r="A150" s="4" t="s">
        <v>60</v>
      </c>
      <c r="B150" s="8" t="s">
        <v>675</v>
      </c>
    </row>
    <row r="151" spans="1:2" x14ac:dyDescent="0.25">
      <c r="A151" s="4" t="s">
        <v>60</v>
      </c>
      <c r="B151" s="8" t="s">
        <v>676</v>
      </c>
    </row>
    <row r="152" spans="1:2" x14ac:dyDescent="0.25">
      <c r="A152" s="4" t="s">
        <v>60</v>
      </c>
      <c r="B152" s="8" t="s">
        <v>677</v>
      </c>
    </row>
    <row r="153" spans="1:2" x14ac:dyDescent="0.25">
      <c r="A153" s="4" t="s">
        <v>60</v>
      </c>
      <c r="B153" s="8" t="s">
        <v>678</v>
      </c>
    </row>
    <row r="154" spans="1:2" x14ac:dyDescent="0.25">
      <c r="A154" s="4" t="s">
        <v>60</v>
      </c>
      <c r="B154" s="8" t="s">
        <v>679</v>
      </c>
    </row>
    <row r="155" spans="1:2" x14ac:dyDescent="0.25">
      <c r="A155" s="4" t="s">
        <v>60</v>
      </c>
      <c r="B155" s="8" t="s">
        <v>680</v>
      </c>
    </row>
    <row r="156" spans="1:2" x14ac:dyDescent="0.25">
      <c r="A156" s="4" t="s">
        <v>60</v>
      </c>
      <c r="B156" s="8" t="s">
        <v>681</v>
      </c>
    </row>
    <row r="157" spans="1:2" x14ac:dyDescent="0.25">
      <c r="A157" s="4" t="s">
        <v>60</v>
      </c>
      <c r="B157" s="8" t="s">
        <v>682</v>
      </c>
    </row>
    <row r="158" spans="1:2" x14ac:dyDescent="0.25">
      <c r="A158" s="4" t="s">
        <v>60</v>
      </c>
      <c r="B158" s="8" t="s">
        <v>683</v>
      </c>
    </row>
    <row r="159" spans="1:2" x14ac:dyDescent="0.25">
      <c r="A159" s="4" t="s">
        <v>60</v>
      </c>
      <c r="B159" s="8" t="s">
        <v>684</v>
      </c>
    </row>
    <row r="160" spans="1:2" x14ac:dyDescent="0.25">
      <c r="A160" s="4" t="s">
        <v>60</v>
      </c>
      <c r="B160" s="8" t="s">
        <v>685</v>
      </c>
    </row>
    <row r="161" spans="1:2" x14ac:dyDescent="0.25">
      <c r="A161" s="4" t="s">
        <v>60</v>
      </c>
      <c r="B161" s="8" t="s">
        <v>686</v>
      </c>
    </row>
    <row r="162" spans="1:2" x14ac:dyDescent="0.25">
      <c r="A162" s="4" t="s">
        <v>60</v>
      </c>
      <c r="B162" s="8" t="s">
        <v>687</v>
      </c>
    </row>
    <row r="163" spans="1:2" x14ac:dyDescent="0.25">
      <c r="A163" s="4" t="s">
        <v>60</v>
      </c>
      <c r="B163" s="8" t="s">
        <v>688</v>
      </c>
    </row>
    <row r="164" spans="1:2" x14ac:dyDescent="0.25">
      <c r="A164" s="4" t="s">
        <v>60</v>
      </c>
      <c r="B164" s="8" t="s">
        <v>689</v>
      </c>
    </row>
    <row r="165" spans="1:2" x14ac:dyDescent="0.25">
      <c r="A165" s="4" t="s">
        <v>60</v>
      </c>
      <c r="B165" s="8" t="s">
        <v>690</v>
      </c>
    </row>
    <row r="166" spans="1:2" x14ac:dyDescent="0.25">
      <c r="A166" s="4" t="s">
        <v>60</v>
      </c>
      <c r="B166" s="8" t="s">
        <v>691</v>
      </c>
    </row>
    <row r="167" spans="1:2" x14ac:dyDescent="0.25">
      <c r="A167" s="4" t="s">
        <v>60</v>
      </c>
      <c r="B167" s="8" t="s">
        <v>692</v>
      </c>
    </row>
    <row r="168" spans="1:2" x14ac:dyDescent="0.25">
      <c r="A168" s="4" t="s">
        <v>60</v>
      </c>
      <c r="B168" s="8" t="s">
        <v>693</v>
      </c>
    </row>
    <row r="169" spans="1:2" x14ac:dyDescent="0.25">
      <c r="A169" s="4" t="s">
        <v>60</v>
      </c>
      <c r="B169" s="8" t="s">
        <v>694</v>
      </c>
    </row>
    <row r="170" spans="1:2" x14ac:dyDescent="0.25">
      <c r="A170" s="4" t="s">
        <v>60</v>
      </c>
      <c r="B170" s="8" t="s">
        <v>695</v>
      </c>
    </row>
    <row r="171" spans="1:2" x14ac:dyDescent="0.25">
      <c r="A171" s="4" t="s">
        <v>60</v>
      </c>
      <c r="B171" s="8" t="s">
        <v>696</v>
      </c>
    </row>
    <row r="172" spans="1:2" x14ac:dyDescent="0.25">
      <c r="A172" s="4" t="s">
        <v>60</v>
      </c>
      <c r="B172" s="8" t="s">
        <v>697</v>
      </c>
    </row>
    <row r="173" spans="1:2" x14ac:dyDescent="0.25">
      <c r="A173" s="4" t="s">
        <v>60</v>
      </c>
      <c r="B173" s="8" t="s">
        <v>698</v>
      </c>
    </row>
    <row r="174" spans="1:2" x14ac:dyDescent="0.25">
      <c r="A174" s="4" t="s">
        <v>60</v>
      </c>
      <c r="B174" s="8" t="s">
        <v>699</v>
      </c>
    </row>
    <row r="175" spans="1:2" x14ac:dyDescent="0.25">
      <c r="A175" s="4" t="s">
        <v>60</v>
      </c>
      <c r="B175" s="8" t="s">
        <v>700</v>
      </c>
    </row>
    <row r="176" spans="1:2" x14ac:dyDescent="0.25">
      <c r="A176" s="4" t="s">
        <v>60</v>
      </c>
      <c r="B176" s="8" t="s">
        <v>701</v>
      </c>
    </row>
    <row r="177" spans="1:2" x14ac:dyDescent="0.25">
      <c r="A177" s="4" t="s">
        <v>60</v>
      </c>
      <c r="B177" s="8" t="s">
        <v>702</v>
      </c>
    </row>
    <row r="178" spans="1:2" x14ac:dyDescent="0.25">
      <c r="A178" s="4" t="s">
        <v>60</v>
      </c>
      <c r="B178" s="8" t="s">
        <v>703</v>
      </c>
    </row>
    <row r="179" spans="1:2" x14ac:dyDescent="0.25">
      <c r="A179" s="4" t="s">
        <v>60</v>
      </c>
      <c r="B179" s="8" t="s">
        <v>704</v>
      </c>
    </row>
    <row r="180" spans="1:2" x14ac:dyDescent="0.25">
      <c r="A180" s="4" t="s">
        <v>60</v>
      </c>
      <c r="B180" s="8" t="s">
        <v>705</v>
      </c>
    </row>
    <row r="181" spans="1:2" x14ac:dyDescent="0.25">
      <c r="A181" s="4" t="s">
        <v>60</v>
      </c>
      <c r="B181" s="8" t="s">
        <v>706</v>
      </c>
    </row>
    <row r="182" spans="1:2" x14ac:dyDescent="0.25">
      <c r="A182" s="4" t="s">
        <v>60</v>
      </c>
      <c r="B182" s="8" t="s">
        <v>707</v>
      </c>
    </row>
    <row r="183" spans="1:2" x14ac:dyDescent="0.25">
      <c r="A183" s="4" t="s">
        <v>60</v>
      </c>
      <c r="B183" s="8" t="s">
        <v>708</v>
      </c>
    </row>
    <row r="184" spans="1:2" x14ac:dyDescent="0.25">
      <c r="A184" s="4" t="s">
        <v>60</v>
      </c>
      <c r="B184" s="8" t="s">
        <v>709</v>
      </c>
    </row>
    <row r="185" spans="1:2" x14ac:dyDescent="0.25">
      <c r="A185" s="4" t="s">
        <v>60</v>
      </c>
      <c r="B185" s="8" t="s">
        <v>710</v>
      </c>
    </row>
    <row r="186" spans="1:2" x14ac:dyDescent="0.25">
      <c r="A186" s="4" t="s">
        <v>60</v>
      </c>
      <c r="B186" s="8" t="s">
        <v>711</v>
      </c>
    </row>
    <row r="187" spans="1:2" x14ac:dyDescent="0.25">
      <c r="A187" s="4" t="s">
        <v>60</v>
      </c>
      <c r="B187" s="8" t="s">
        <v>712</v>
      </c>
    </row>
    <row r="188" spans="1:2" x14ac:dyDescent="0.25">
      <c r="A188" s="4" t="s">
        <v>60</v>
      </c>
      <c r="B188" s="8" t="s">
        <v>713</v>
      </c>
    </row>
    <row r="189" spans="1:2" x14ac:dyDescent="0.25">
      <c r="A189" s="4" t="s">
        <v>60</v>
      </c>
      <c r="B189" s="8" t="s">
        <v>714</v>
      </c>
    </row>
    <row r="190" spans="1:2" x14ac:dyDescent="0.25">
      <c r="A190" s="4" t="s">
        <v>60</v>
      </c>
      <c r="B190" s="8" t="s">
        <v>715</v>
      </c>
    </row>
    <row r="191" spans="1:2" x14ac:dyDescent="0.25">
      <c r="A191" s="4" t="s">
        <v>60</v>
      </c>
      <c r="B191" s="8" t="s">
        <v>716</v>
      </c>
    </row>
    <row r="192" spans="1:2" x14ac:dyDescent="0.25">
      <c r="A192" s="4" t="s">
        <v>60</v>
      </c>
      <c r="B192" s="8" t="s">
        <v>717</v>
      </c>
    </row>
    <row r="193" spans="1:2" x14ac:dyDescent="0.25">
      <c r="A193" s="4" t="s">
        <v>60</v>
      </c>
      <c r="B193" s="8" t="s">
        <v>718</v>
      </c>
    </row>
    <row r="194" spans="1:2" x14ac:dyDescent="0.25">
      <c r="A194" s="4" t="s">
        <v>60</v>
      </c>
      <c r="B194" s="8" t="s">
        <v>719</v>
      </c>
    </row>
    <row r="195" spans="1:2" x14ac:dyDescent="0.25">
      <c r="A195" s="4" t="s">
        <v>60</v>
      </c>
      <c r="B195" s="8" t="s">
        <v>720</v>
      </c>
    </row>
    <row r="196" spans="1:2" x14ac:dyDescent="0.25">
      <c r="A196" s="4" t="s">
        <v>60</v>
      </c>
      <c r="B196" s="8" t="s">
        <v>721</v>
      </c>
    </row>
    <row r="197" spans="1:2" x14ac:dyDescent="0.25">
      <c r="A197" s="4" t="s">
        <v>60</v>
      </c>
      <c r="B197" s="8" t="s">
        <v>722</v>
      </c>
    </row>
    <row r="198" spans="1:2" x14ac:dyDescent="0.25">
      <c r="A198" s="4" t="s">
        <v>60</v>
      </c>
      <c r="B198" s="8" t="s">
        <v>723</v>
      </c>
    </row>
    <row r="199" spans="1:2" x14ac:dyDescent="0.25">
      <c r="A199" s="4" t="s">
        <v>60</v>
      </c>
      <c r="B199" s="8" t="s">
        <v>724</v>
      </c>
    </row>
    <row r="200" spans="1:2" x14ac:dyDescent="0.25">
      <c r="A200" s="4" t="s">
        <v>60</v>
      </c>
      <c r="B200" s="8" t="s">
        <v>725</v>
      </c>
    </row>
    <row r="201" spans="1:2" x14ac:dyDescent="0.25">
      <c r="A201" s="4" t="s">
        <v>60</v>
      </c>
      <c r="B201" s="8" t="s">
        <v>726</v>
      </c>
    </row>
    <row r="202" spans="1:2" x14ac:dyDescent="0.25">
      <c r="A202" s="4" t="s">
        <v>60</v>
      </c>
      <c r="B202" s="8" t="s">
        <v>727</v>
      </c>
    </row>
    <row r="203" spans="1:2" x14ac:dyDescent="0.25">
      <c r="A203" s="4" t="s">
        <v>60</v>
      </c>
      <c r="B203" s="8" t="s">
        <v>728</v>
      </c>
    </row>
    <row r="204" spans="1:2" x14ac:dyDescent="0.25">
      <c r="A204" s="4" t="s">
        <v>60</v>
      </c>
      <c r="B204" s="8" t="s">
        <v>729</v>
      </c>
    </row>
    <row r="205" spans="1:2" x14ac:dyDescent="0.25">
      <c r="A205" s="4" t="s">
        <v>60</v>
      </c>
      <c r="B205" s="8" t="s">
        <v>730</v>
      </c>
    </row>
    <row r="206" spans="1:2" x14ac:dyDescent="0.25">
      <c r="A206" s="4" t="s">
        <v>60</v>
      </c>
      <c r="B206" s="8" t="s">
        <v>731</v>
      </c>
    </row>
    <row r="207" spans="1:2" x14ac:dyDescent="0.25">
      <c r="A207" s="4" t="s">
        <v>60</v>
      </c>
      <c r="B207" s="8" t="s">
        <v>732</v>
      </c>
    </row>
    <row r="208" spans="1:2" x14ac:dyDescent="0.25">
      <c r="A208" s="4" t="s">
        <v>60</v>
      </c>
      <c r="B208" s="8" t="s">
        <v>733</v>
      </c>
    </row>
    <row r="209" spans="1:2" x14ac:dyDescent="0.25">
      <c r="A209" s="4" t="s">
        <v>60</v>
      </c>
      <c r="B209" s="8" t="s">
        <v>734</v>
      </c>
    </row>
    <row r="210" spans="1:2" x14ac:dyDescent="0.25">
      <c r="A210" s="4" t="s">
        <v>60</v>
      </c>
      <c r="B210" s="8" t="s">
        <v>735</v>
      </c>
    </row>
    <row r="211" spans="1:2" x14ac:dyDescent="0.25">
      <c r="A211" s="4" t="s">
        <v>60</v>
      </c>
      <c r="B211" s="8" t="s">
        <v>736</v>
      </c>
    </row>
    <row r="212" spans="1:2" x14ac:dyDescent="0.25">
      <c r="A212" s="4" t="s">
        <v>60</v>
      </c>
      <c r="B212" s="8" t="s">
        <v>737</v>
      </c>
    </row>
    <row r="213" spans="1:2" x14ac:dyDescent="0.25">
      <c r="A213" s="4" t="s">
        <v>60</v>
      </c>
      <c r="B213" s="8" t="s">
        <v>738</v>
      </c>
    </row>
    <row r="214" spans="1:2" x14ac:dyDescent="0.25">
      <c r="A214" s="4" t="s">
        <v>60</v>
      </c>
      <c r="B214" s="8" t="s">
        <v>739</v>
      </c>
    </row>
    <row r="215" spans="1:2" x14ac:dyDescent="0.25">
      <c r="A215" s="4" t="s">
        <v>60</v>
      </c>
      <c r="B215" s="8" t="s">
        <v>740</v>
      </c>
    </row>
    <row r="216" spans="1:2" x14ac:dyDescent="0.25">
      <c r="A216" s="4" t="s">
        <v>60</v>
      </c>
      <c r="B216" s="8" t="s">
        <v>741</v>
      </c>
    </row>
    <row r="217" spans="1:2" x14ac:dyDescent="0.25">
      <c r="A217" s="4" t="s">
        <v>60</v>
      </c>
      <c r="B217" s="8" t="s">
        <v>742</v>
      </c>
    </row>
    <row r="218" spans="1:2" x14ac:dyDescent="0.25">
      <c r="A218" s="4" t="s">
        <v>60</v>
      </c>
      <c r="B218" s="8" t="s">
        <v>743</v>
      </c>
    </row>
    <row r="219" spans="1:2" x14ac:dyDescent="0.25">
      <c r="A219" s="4" t="s">
        <v>60</v>
      </c>
      <c r="B219" s="8" t="s">
        <v>744</v>
      </c>
    </row>
    <row r="220" spans="1:2" x14ac:dyDescent="0.25">
      <c r="A220" s="4" t="s">
        <v>60</v>
      </c>
      <c r="B220" s="8" t="s">
        <v>745</v>
      </c>
    </row>
    <row r="221" spans="1:2" x14ac:dyDescent="0.25">
      <c r="A221" s="4" t="s">
        <v>60</v>
      </c>
      <c r="B221" s="8" t="s">
        <v>746</v>
      </c>
    </row>
    <row r="222" spans="1:2" x14ac:dyDescent="0.25">
      <c r="A222" s="4" t="s">
        <v>60</v>
      </c>
      <c r="B222" s="8" t="s">
        <v>747</v>
      </c>
    </row>
    <row r="223" spans="1:2" x14ac:dyDescent="0.25">
      <c r="A223" s="4" t="s">
        <v>60</v>
      </c>
      <c r="B223" s="8" t="s">
        <v>748</v>
      </c>
    </row>
    <row r="224" spans="1:2" x14ac:dyDescent="0.25">
      <c r="A224" s="4" t="s">
        <v>60</v>
      </c>
      <c r="B224" s="8" t="s">
        <v>749</v>
      </c>
    </row>
    <row r="225" spans="1:2" x14ac:dyDescent="0.25">
      <c r="A225" s="4" t="s">
        <v>60</v>
      </c>
      <c r="B225" s="8" t="s">
        <v>750</v>
      </c>
    </row>
    <row r="226" spans="1:2" x14ac:dyDescent="0.25">
      <c r="A226" s="4" t="s">
        <v>60</v>
      </c>
      <c r="B226" s="8" t="s">
        <v>751</v>
      </c>
    </row>
    <row r="227" spans="1:2" x14ac:dyDescent="0.25">
      <c r="A227" s="4" t="s">
        <v>60</v>
      </c>
      <c r="B227" s="8" t="s">
        <v>752</v>
      </c>
    </row>
    <row r="228" spans="1:2" x14ac:dyDescent="0.25">
      <c r="A228" s="4" t="s">
        <v>60</v>
      </c>
      <c r="B228" s="8" t="s">
        <v>753</v>
      </c>
    </row>
    <row r="229" spans="1:2" x14ac:dyDescent="0.25">
      <c r="A229" s="4" t="s">
        <v>60</v>
      </c>
      <c r="B229" s="8" t="s">
        <v>754</v>
      </c>
    </row>
    <row r="230" spans="1:2" x14ac:dyDescent="0.25">
      <c r="A230" s="4" t="s">
        <v>60</v>
      </c>
      <c r="B230" s="8" t="s">
        <v>755</v>
      </c>
    </row>
    <row r="231" spans="1:2" x14ac:dyDescent="0.25">
      <c r="A231" s="4" t="s">
        <v>60</v>
      </c>
      <c r="B231" s="8" t="s">
        <v>756</v>
      </c>
    </row>
    <row r="232" spans="1:2" x14ac:dyDescent="0.25">
      <c r="A232" s="4" t="s">
        <v>60</v>
      </c>
      <c r="B232" s="8" t="s">
        <v>757</v>
      </c>
    </row>
    <row r="233" spans="1:2" x14ac:dyDescent="0.25">
      <c r="A233" s="4" t="s">
        <v>60</v>
      </c>
      <c r="B233" s="8" t="s">
        <v>758</v>
      </c>
    </row>
    <row r="234" spans="1:2" x14ac:dyDescent="0.25">
      <c r="A234" s="4" t="s">
        <v>60</v>
      </c>
      <c r="B234" s="8" t="s">
        <v>759</v>
      </c>
    </row>
    <row r="235" spans="1:2" x14ac:dyDescent="0.25">
      <c r="A235" s="4" t="s">
        <v>60</v>
      </c>
      <c r="B235" s="8" t="s">
        <v>760</v>
      </c>
    </row>
    <row r="236" spans="1:2" x14ac:dyDescent="0.25">
      <c r="A236" s="4" t="s">
        <v>60</v>
      </c>
      <c r="B236" s="8" t="s">
        <v>761</v>
      </c>
    </row>
    <row r="237" spans="1:2" x14ac:dyDescent="0.25">
      <c r="A237" s="4" t="s">
        <v>60</v>
      </c>
      <c r="B237" s="8" t="s">
        <v>762</v>
      </c>
    </row>
    <row r="238" spans="1:2" x14ac:dyDescent="0.25">
      <c r="A238" s="4" t="s">
        <v>60</v>
      </c>
      <c r="B238" s="8" t="s">
        <v>763</v>
      </c>
    </row>
    <row r="239" spans="1:2" x14ac:dyDescent="0.25">
      <c r="A239" s="4" t="s">
        <v>60</v>
      </c>
      <c r="B239" s="8" t="s">
        <v>764</v>
      </c>
    </row>
    <row r="240" spans="1:2" x14ac:dyDescent="0.25">
      <c r="A240" s="4" t="s">
        <v>60</v>
      </c>
      <c r="B240" s="8" t="s">
        <v>765</v>
      </c>
    </row>
    <row r="241" spans="1:2" x14ac:dyDescent="0.25">
      <c r="A241" s="4" t="s">
        <v>60</v>
      </c>
      <c r="B241" s="8" t="s">
        <v>766</v>
      </c>
    </row>
    <row r="242" spans="1:2" x14ac:dyDescent="0.25">
      <c r="A242" s="4" t="s">
        <v>60</v>
      </c>
      <c r="B242" s="8" t="s">
        <v>767</v>
      </c>
    </row>
    <row r="243" spans="1:2" x14ac:dyDescent="0.25">
      <c r="A243" s="4" t="s">
        <v>60</v>
      </c>
      <c r="B243" s="8" t="s">
        <v>768</v>
      </c>
    </row>
    <row r="244" spans="1:2" x14ac:dyDescent="0.25">
      <c r="A244" s="4" t="s">
        <v>60</v>
      </c>
      <c r="B244" s="8" t="s">
        <v>769</v>
      </c>
    </row>
    <row r="245" spans="1:2" x14ac:dyDescent="0.25">
      <c r="A245" s="4" t="s">
        <v>60</v>
      </c>
      <c r="B245" s="8" t="s">
        <v>770</v>
      </c>
    </row>
    <row r="246" spans="1:2" x14ac:dyDescent="0.25">
      <c r="A246" s="4" t="s">
        <v>60</v>
      </c>
      <c r="B246" s="8" t="s">
        <v>771</v>
      </c>
    </row>
    <row r="247" spans="1:2" x14ac:dyDescent="0.25">
      <c r="A247" s="4" t="s">
        <v>60</v>
      </c>
      <c r="B247" s="8" t="s">
        <v>772</v>
      </c>
    </row>
    <row r="248" spans="1:2" x14ac:dyDescent="0.25">
      <c r="A248" s="4" t="s">
        <v>60</v>
      </c>
      <c r="B248" s="8" t="s">
        <v>773</v>
      </c>
    </row>
    <row r="249" spans="1:2" x14ac:dyDescent="0.25">
      <c r="A249" s="4" t="s">
        <v>60</v>
      </c>
      <c r="B249" s="8" t="s">
        <v>774</v>
      </c>
    </row>
    <row r="250" spans="1:2" x14ac:dyDescent="0.25">
      <c r="A250" s="4" t="s">
        <v>60</v>
      </c>
      <c r="B250" s="8" t="s">
        <v>775</v>
      </c>
    </row>
    <row r="251" spans="1:2" x14ac:dyDescent="0.25">
      <c r="A251" s="4" t="s">
        <v>60</v>
      </c>
      <c r="B251" s="8" t="s">
        <v>776</v>
      </c>
    </row>
    <row r="252" spans="1:2" x14ac:dyDescent="0.25">
      <c r="A252" s="4" t="s">
        <v>60</v>
      </c>
      <c r="B252" s="8" t="s">
        <v>777</v>
      </c>
    </row>
    <row r="253" spans="1:2" x14ac:dyDescent="0.25">
      <c r="A253" s="4" t="s">
        <v>60</v>
      </c>
      <c r="B253" s="8" t="s">
        <v>778</v>
      </c>
    </row>
    <row r="254" spans="1:2" x14ac:dyDescent="0.25">
      <c r="A254" s="4" t="s">
        <v>60</v>
      </c>
      <c r="B254" s="8" t="s">
        <v>779</v>
      </c>
    </row>
    <row r="255" spans="1:2" x14ac:dyDescent="0.25">
      <c r="A255" s="4" t="s">
        <v>60</v>
      </c>
      <c r="B255" s="8" t="s">
        <v>780</v>
      </c>
    </row>
    <row r="256" spans="1:2" x14ac:dyDescent="0.25">
      <c r="A256" s="4" t="s">
        <v>60</v>
      </c>
      <c r="B256" s="8" t="s">
        <v>781</v>
      </c>
    </row>
    <row r="257" spans="1:2" x14ac:dyDescent="0.25">
      <c r="A257" s="4" t="s">
        <v>60</v>
      </c>
      <c r="B257" s="8" t="s">
        <v>782</v>
      </c>
    </row>
    <row r="258" spans="1:2" x14ac:dyDescent="0.25">
      <c r="A258" s="4" t="s">
        <v>60</v>
      </c>
      <c r="B258" s="8" t="s">
        <v>783</v>
      </c>
    </row>
    <row r="259" spans="1:2" x14ac:dyDescent="0.25">
      <c r="A259" s="4" t="s">
        <v>60</v>
      </c>
      <c r="B259" s="8" t="s">
        <v>784</v>
      </c>
    </row>
    <row r="260" spans="1:2" x14ac:dyDescent="0.25">
      <c r="A260" s="4" t="s">
        <v>60</v>
      </c>
      <c r="B260" s="8" t="s">
        <v>785</v>
      </c>
    </row>
  </sheetData>
  <autoFilter ref="A8:N137" xr:uid="{A5AA9480-FECE-4D77-AD12-36E3BA69C1AC}"/>
  <mergeCells count="8">
    <mergeCell ref="A129:N129"/>
    <mergeCell ref="A7:P7"/>
    <mergeCell ref="A2:P2"/>
    <mergeCell ref="A1:P1"/>
    <mergeCell ref="A3:P3"/>
    <mergeCell ref="A4:P4"/>
    <mergeCell ref="A5:P5"/>
    <mergeCell ref="A6:N6"/>
  </mergeCells>
  <hyperlinks>
    <hyperlink ref="A137" location="Index!A1" display="Back to Index" xr:uid="{03FC770E-9536-4BE8-8D4C-1A7B06F4F552}"/>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FF49975E8DE8E439848F855486C4ED8" ma:contentTypeVersion="6" ma:contentTypeDescription="Create a new document." ma:contentTypeScope="" ma:versionID="f39b8ea50b4efafd019d975ed3685cf0">
  <xsd:schema xmlns:xsd="http://www.w3.org/2001/XMLSchema" xmlns:xs="http://www.w3.org/2001/XMLSchema" xmlns:p="http://schemas.microsoft.com/office/2006/metadata/properties" xmlns:ns2="4351ea0b-59b6-4bb2-9550-55596f432c66" xmlns:ns3="abb7c066-0e75-4f9f-a7fd-256dceefbfe6" targetNamespace="http://schemas.microsoft.com/office/2006/metadata/properties" ma:root="true" ma:fieldsID="6a7f805c69beeed54a184edbcd84b07f" ns2:_="" ns3:_="">
    <xsd:import namespace="4351ea0b-59b6-4bb2-9550-55596f432c66"/>
    <xsd:import namespace="abb7c066-0e75-4f9f-a7fd-256dceefbf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1ea0b-59b6-4bb2-9550-55596f432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b7c066-0e75-4f9f-a7fd-256dceefbfe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2DF58F-9925-4F24-8594-A7A2396951D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9E84BF0-81B0-4DF5-AD9D-9D6DEE0230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1ea0b-59b6-4bb2-9550-55596f432c66"/>
    <ds:schemaRef ds:uri="abb7c066-0e75-4f9f-a7fd-256dceefb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89AAA9-D219-4D8F-8882-A5AE3E5367AE}">
  <ds:schemaRefs>
    <ds:schemaRef ds:uri="http://schemas.microsoft.com/sharepoint/v3/contenttype/forms"/>
  </ds:schemaRefs>
</ds:datastoreItem>
</file>

<file path=docMetadata/LabelInfo.xml><?xml version="1.0" encoding="utf-8"?>
<clbl:labelList xmlns:clbl="http://schemas.microsoft.com/office/2020/mipLabelMetadata">
  <clbl:label id="{0b9b90da-3fe1-457a-b340-f1b67e1024fb}" enabled="0" method="" siteId="{0b9b90da-3fe1-457a-b340-f1b67e1024f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Index</vt:lpstr>
      <vt:lpstr>VersionHistory</vt:lpstr>
      <vt:lpstr>Create</vt:lpstr>
      <vt:lpstr>Sheet1</vt:lpstr>
      <vt:lpstr>Update</vt:lpstr>
      <vt:lpstr>Cancel</vt:lpstr>
      <vt:lpstr>Delete</vt:lpstr>
      <vt:lpstr>Search</vt:lpstr>
      <vt:lpstr>GetByID</vt:lpstr>
      <vt:lpstr>OutOfScope</vt:lpstr>
      <vt:lpstr>Loan Change Transaction</vt:lpstr>
      <vt:lpstr>Create!_Toc139059209</vt:lpstr>
      <vt:lpstr>Update!_Toc139059209</vt:lpstr>
      <vt:lpstr>OutOfScope!_Toc81484211</vt:lpstr>
      <vt:lpstr>OutOfScope!_Toc81484212</vt:lpstr>
      <vt:lpstr>OutOfScope!_Toc81484213</vt:lpstr>
      <vt:lpstr>OutOfScope!_Toc81484214</vt:lpstr>
      <vt:lpstr>OutOfScope!_Toc81484215</vt:lpstr>
      <vt:lpstr>Create!GA7610_2</vt:lpstr>
      <vt:lpstr>Create!GA7610_3</vt:lpstr>
      <vt:lpstr>Create!transactionDate1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Romesh</dc:creator>
  <cp:keywords/>
  <dc:description/>
  <cp:lastModifiedBy>Srivastava, Amitesh Ranjan</cp:lastModifiedBy>
  <cp:revision/>
  <dcterms:created xsi:type="dcterms:W3CDTF">2023-07-18T03:35:22Z</dcterms:created>
  <dcterms:modified xsi:type="dcterms:W3CDTF">2026-08-22T15:40:07Z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0x0101009FF49975E8DE8E439848F855486C4ED8</vt:lpwstr>
  </property>
  <property fmtid="{D5CDD505-2E9C-101B-9397-08002B2CF9AE}" pid="3" name="WorkbookGuid">
    <vt:lpwstr>3c6bab87-320d-4f7d-a2aa-0b86614ee98d</vt:lpwstr>
  </property>
</Properties>
</file>
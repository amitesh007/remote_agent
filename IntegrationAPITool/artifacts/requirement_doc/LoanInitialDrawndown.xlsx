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u732789\Downloads\"/>
    </mc:Choice>
  </mc:AlternateContent>
  <xr:revisionPtr revIDLastSave="0" documentId="13_ncr:1_{7F955581-22E4-4833-9F19-367C36505AA3}" xr6:coauthVersionLast="47" xr6:coauthVersionMax="47" xr10:uidLastSave="{00000000-0000-0000-0000-000000000000}"/>
  <bookViews>
    <workbookView xWindow="-108" yWindow="-108" windowWidth="23256" windowHeight="13896" tabRatio="524" activeTab="4" xr2:uid="{00000000-000D-0000-FFFF-FFFF00000000}"/>
  </bookViews>
  <sheets>
    <sheet name="Index" sheetId="1" r:id="rId1"/>
    <sheet name="VersionHistory" sheetId="9" r:id="rId2"/>
    <sheet name="Create" sheetId="2" r:id="rId3"/>
    <sheet name="Update" sheetId="3" r:id="rId4"/>
    <sheet name="GetByID" sheetId="8" r:id="rId5"/>
    <sheet name="Cancel" sheetId="5" r:id="rId6"/>
    <sheet name="Delete" sheetId="6" r:id="rId7"/>
    <sheet name="Search" sheetId="4" r:id="rId8"/>
    <sheet name="OutOfScope" sheetId="10" r:id="rId9"/>
  </sheets>
  <definedNames>
    <definedName name="_xlnm._FilterDatabase" localSheetId="2" hidden="1">Create!$A$7:$T$226</definedName>
    <definedName name="_xlnm._FilterDatabase" localSheetId="3" hidden="1">Update!$A$13:$R$13</definedName>
    <definedName name="_Hlk86385617" localSheetId="2">Create!$B$210</definedName>
    <definedName name="_Hlk86385617" localSheetId="6">Delete!#REF!</definedName>
    <definedName name="_Hlk86385617" localSheetId="3">Update!#REF!</definedName>
    <definedName name="_Toc81484211" localSheetId="8">OutOfScope!$A$44</definedName>
    <definedName name="_Toc81484212" localSheetId="8">OutOfScope!$A$45</definedName>
    <definedName name="_Toc81484213" localSheetId="8">OutOfScope!$A$46</definedName>
    <definedName name="_Toc81484214" localSheetId="8">OutOfScope!$A$47</definedName>
    <definedName name="_Toc81484215" localSheetId="8">OutOfScope!$A$48</definedName>
    <definedName name="actualExpiryDate3256" localSheetId="2">Create!$F$142</definedName>
    <definedName name="actualExpiryDate3256" localSheetId="6">Delete!#REF!</definedName>
    <definedName name="actualExpiryDate3256" localSheetId="3">Update!#REF!</definedName>
    <definedName name="BorrowerObjectIdentifier" localSheetId="2">Create!$F$163</definedName>
    <definedName name="BorrowerObjectIdentifier" localSheetId="6">Delete!#REF!</definedName>
    <definedName name="BorrowerObjectIdentifier" localSheetId="3">Update!#REF!</definedName>
    <definedName name="effective_date" localSheetId="2">Create!$F$149</definedName>
    <definedName name="effective_date" localSheetId="6">Delete!#REF!</definedName>
    <definedName name="effective_date" localSheetId="3">Update!#REF!</definedName>
    <definedName name="feePaidByCustomerXID3256" localSheetId="2">Create!$F$144</definedName>
    <definedName name="feePaidByCustomerXID3256" localSheetId="6">Delete!#REF!</definedName>
    <definedName name="feePaidByCustomerXID3256" localSheetId="3">Update!#REF!</definedName>
    <definedName name="feePaidByLocationCode3256" localSheetId="2">Create!$F$146</definedName>
    <definedName name="feePaidByLocationCode3256" localSheetId="6">Delete!#REF!</definedName>
    <definedName name="feePaidByLocationCode3256" localSheetId="3">Update!#REF!</definedName>
    <definedName name="feePaidByProfileType3256" localSheetId="2">Create!$F$147</definedName>
    <definedName name="feePaidByProfileType3256" localSheetId="6">Delete!#REF!</definedName>
    <definedName name="feePaidByProfileType3256" localSheetId="3">Update!#REF!</definedName>
    <definedName name="feePaidByServicingGroupAlias3256" localSheetId="2">Create!$F$145</definedName>
    <definedName name="feePaidByServicingGroupAlias3256" localSheetId="6">Delete!#REF!</definedName>
    <definedName name="feePaidByServicingGroupAlias3256" localSheetId="3">Update!#REF!</definedName>
    <definedName name="originalExpiryDate3256" localSheetId="2">Create!$F$143</definedName>
    <definedName name="originalExpiryDate3256" localSheetId="6">Delete!#REF!</definedName>
    <definedName name="originalExpiryDate3256" localSheetId="3">Update!#REF!</definedName>
    <definedName name="percentOfFormulaUpdate" localSheetId="1">VersionHistory!$C$7</definedName>
    <definedName name="percentOfFormulaUsageUpdate" localSheetId="1">VersionHistory!$C$8</definedName>
    <definedName name="ProfTypeUpd3465" localSheetId="2">Create!$F$112</definedName>
    <definedName name="ProfTypeUpd3465" localSheetId="6">Delete!#REF!</definedName>
    <definedName name="ProfTypeUpd3465" localSheetId="3">Update!#REF!</definedName>
    <definedName name="useDistributionList3256" localSheetId="2">Create!$F$148</definedName>
    <definedName name="useDistributionList3256" localSheetId="6">Delete!#REF!</definedName>
    <definedName name="useDistributionList3256" localSheetId="3">Update!#REF!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32" i="3" l="1"/>
  <c r="A233" i="3" s="1"/>
  <c r="B22" i="9"/>
  <c r="A5" i="4" a="1"/>
  <c r="A24" i="4" a="1"/>
  <c r="A5" i="4" l="1"/>
  <c r="A24" i="4"/>
  <c r="D21" i="9"/>
  <c r="D20" i="9"/>
  <c r="D19" i="9"/>
  <c r="A25" i="4" a="1"/>
  <c r="A6" i="4" a="1"/>
  <c r="A25" i="4" l="1"/>
  <c r="A6" i="4"/>
  <c r="A10" i="8"/>
  <c r="A7" i="4" a="1"/>
  <c r="A14" i="10" a="1"/>
  <c r="A4" i="10" a="1"/>
  <c r="A32" i="10" a="1"/>
  <c r="A26" i="4" a="1"/>
  <c r="A11" i="8" l="1"/>
  <c r="A7" i="4"/>
  <c r="A26" i="4"/>
  <c r="A4" i="10"/>
  <c r="A14" i="10"/>
  <c r="A32" i="10"/>
  <c r="A5" i="10" a="1"/>
  <c r="A27" i="4" a="1"/>
  <c r="A8" i="4" a="1"/>
  <c r="A15" i="10" a="1"/>
  <c r="A33" i="10" a="1"/>
  <c r="A13" i="8" l="1"/>
  <c r="A14" i="8" s="1"/>
  <c r="A15" i="8" s="1"/>
  <c r="A16" i="8" s="1"/>
  <c r="A17" i="8" s="1"/>
  <c r="A18" i="8" s="1"/>
  <c r="A19" i="8" s="1"/>
  <c r="A20" i="8" s="1"/>
  <c r="A21" i="8" s="1"/>
  <c r="A22" i="8" s="1"/>
  <c r="A23" i="8" s="1"/>
  <c r="A24" i="8" s="1"/>
  <c r="A27" i="4"/>
  <c r="A8" i="4"/>
  <c r="A15" i="10"/>
  <c r="A5" i="10"/>
  <c r="A33" i="10"/>
  <c r="A13" i="5"/>
  <c r="A14" i="5" s="1"/>
  <c r="A16" i="6"/>
  <c r="A17" i="6" s="1"/>
  <c r="A230" i="3"/>
  <c r="A3" i="1"/>
  <c r="A4" i="1" s="1"/>
  <c r="A5" i="1" s="1"/>
  <c r="A6" i="1" s="1"/>
  <c r="A7" i="1" s="1"/>
  <c r="A16" i="10" a="1"/>
  <c r="A9" i="4" a="1"/>
  <c r="A28" i="4" a="1"/>
  <c r="A34" i="10" a="1"/>
  <c r="A6" i="10" a="1"/>
  <c r="A27" i="8" l="1"/>
  <c r="A28" i="8" s="1"/>
  <c r="A29" i="8" s="1"/>
  <c r="A30" i="8" s="1"/>
  <c r="A31" i="8" s="1"/>
  <c r="A32" i="8" s="1"/>
  <c r="A33" i="8" s="1"/>
  <c r="A34" i="8" s="1"/>
  <c r="A35" i="8" s="1"/>
  <c r="A36" i="8" s="1"/>
  <c r="A37" i="8" s="1"/>
  <c r="A38" i="8" s="1"/>
  <c r="A39" i="8" s="1"/>
  <c r="A40" i="8" s="1"/>
  <c r="A41" i="8" s="1"/>
  <c r="A42" i="8" s="1"/>
  <c r="A43" i="8" s="1"/>
  <c r="A44" i="8" s="1"/>
  <c r="A9" i="4"/>
  <c r="A28" i="4"/>
  <c r="A34" i="10"/>
  <c r="A6" i="10"/>
  <c r="A16" i="10"/>
  <c r="A10" i="4" a="1"/>
  <c r="A35" i="10" a="1"/>
  <c r="A17" i="10" a="1"/>
  <c r="A7" i="10" a="1"/>
  <c r="A29" i="4" a="1"/>
  <c r="A45" i="8" l="1"/>
  <c r="A46" i="8" s="1"/>
  <c r="A47" i="8" s="1"/>
  <c r="A48" i="8" s="1"/>
  <c r="A49" i="8" s="1"/>
  <c r="A50" i="8" s="1"/>
  <c r="A51" i="8" s="1"/>
  <c r="A52" i="8" s="1"/>
  <c r="A53" i="8" s="1"/>
  <c r="A54" i="8" s="1"/>
  <c r="A29" i="4"/>
  <c r="A10" i="4"/>
  <c r="A17" i="10"/>
  <c r="A7" i="10"/>
  <c r="A35" i="10"/>
  <c r="A30" i="4" a="1"/>
  <c r="A11" i="4" a="1"/>
  <c r="A36" i="10" a="1"/>
  <c r="A8" i="10" a="1"/>
  <c r="A18" i="10" a="1"/>
  <c r="A55" i="8" l="1"/>
  <c r="A56" i="8" s="1"/>
  <c r="A57" i="8" s="1"/>
  <c r="A58" i="8" s="1"/>
  <c r="A59" i="8" s="1"/>
  <c r="A60" i="8" s="1"/>
  <c r="A61" i="8" s="1"/>
  <c r="A62" i="8" s="1"/>
  <c r="A63" i="8" s="1"/>
  <c r="A64" i="8" s="1"/>
  <c r="A11" i="4"/>
  <c r="A30" i="4"/>
  <c r="A36" i="10"/>
  <c r="A8" i="10"/>
  <c r="A18" i="10"/>
  <c r="A37" i="10" a="1"/>
  <c r="A12" i="4" a="1"/>
  <c r="A19" i="10" a="1"/>
  <c r="A31" i="4" a="1"/>
  <c r="A9" i="10" a="1"/>
  <c r="A65" i="8" l="1"/>
  <c r="A66" i="8" s="1"/>
  <c r="A67" i="8" s="1"/>
  <c r="A68" i="8" s="1"/>
  <c r="A69" i="8" s="1"/>
  <c r="A70" i="8" s="1"/>
  <c r="A71" i="8" s="1"/>
  <c r="A72" i="8" s="1"/>
  <c r="A73" i="8" s="1"/>
  <c r="A74" i="8" s="1"/>
  <c r="A31" i="4"/>
  <c r="A12" i="4"/>
  <c r="A19" i="10"/>
  <c r="A9" i="10"/>
  <c r="A37" i="10"/>
  <c r="A13" i="4" a="1"/>
  <c r="A32" i="4" a="1"/>
  <c r="A38" i="10" a="1"/>
  <c r="A20" i="10" a="1"/>
  <c r="A75" i="8" l="1"/>
  <c r="A76" i="8" s="1"/>
  <c r="A77" i="8" s="1"/>
  <c r="A78" i="8" s="1"/>
  <c r="A79" i="8" s="1"/>
  <c r="A80" i="8" s="1"/>
  <c r="A81" i="8" s="1"/>
  <c r="A82" i="8" s="1"/>
  <c r="A83" i="8" s="1"/>
  <c r="A84" i="8" s="1"/>
  <c r="A13" i="4"/>
  <c r="A32" i="4"/>
  <c r="A38" i="10"/>
  <c r="A20" i="10"/>
  <c r="A33" i="4" a="1"/>
  <c r="A14" i="4" a="1"/>
  <c r="A21" i="10" a="1"/>
  <c r="A39" i="10" a="1"/>
  <c r="A85" i="8" l="1"/>
  <c r="A86" i="8" s="1"/>
  <c r="A87" i="8" s="1"/>
  <c r="A88" i="8" s="1"/>
  <c r="A33" i="4"/>
  <c r="A14" i="4"/>
  <c r="A21" i="10"/>
  <c r="A39" i="10"/>
  <c r="A22" i="10" a="1"/>
  <c r="A15" i="4" a="1"/>
  <c r="A89" i="8" a="1"/>
  <c r="A34" i="4" a="1"/>
  <c r="A40" i="10" a="1"/>
  <c r="A89" i="8" l="1"/>
  <c r="A15" i="4"/>
  <c r="A34" i="4"/>
  <c r="A40" i="10"/>
  <c r="A22" i="10"/>
  <c r="A23" i="10" a="1"/>
  <c r="A41" i="10" a="1"/>
  <c r="A16" i="4" a="1"/>
  <c r="A35" i="4" a="1"/>
  <c r="A90" i="8" a="1"/>
  <c r="A90" i="8" l="1"/>
  <c r="A91" i="8" s="1"/>
  <c r="A92" i="8" s="1"/>
  <c r="A93" i="8" s="1"/>
  <c r="A94" i="8" s="1"/>
  <c r="A35" i="4"/>
  <c r="A16" i="4"/>
  <c r="A23" i="10"/>
  <c r="A41" i="10"/>
  <c r="A42" i="10" a="1"/>
  <c r="A24" i="10" a="1"/>
  <c r="A36" i="4" a="1"/>
  <c r="A17" i="4" a="1"/>
  <c r="A95" i="8" l="1"/>
  <c r="A96" i="8" s="1"/>
  <c r="A97" i="8" s="1"/>
  <c r="A98" i="8" s="1"/>
  <c r="A99" i="8" s="1"/>
  <c r="A100" i="8" s="1"/>
  <c r="A101" i="8" s="1"/>
  <c r="A102" i="8" s="1"/>
  <c r="A103" i="8" s="1"/>
  <c r="A104" i="8" s="1"/>
  <c r="A105" i="8" s="1"/>
  <c r="A106" i="8" s="1"/>
  <c r="A107" i="8" s="1"/>
  <c r="A108" i="8" s="1"/>
  <c r="A109" i="8" s="1"/>
  <c r="A110" i="8" s="1"/>
  <c r="A111" i="8" s="1"/>
  <c r="A112" i="8" s="1"/>
  <c r="A113" i="8" s="1"/>
  <c r="A114" i="8" s="1"/>
  <c r="A17" i="4"/>
  <c r="A36" i="4"/>
  <c r="A42" i="10"/>
  <c r="A24" i="10"/>
  <c r="A25" i="10" a="1"/>
  <c r="A37" i="4" a="1"/>
  <c r="A18" i="4" a="1"/>
  <c r="A115" i="8" l="1"/>
  <c r="A116" i="8" s="1"/>
  <c r="A117" i="8" s="1"/>
  <c r="A120" i="8" s="1"/>
  <c r="A121" i="8" s="1"/>
  <c r="A123" i="8" s="1"/>
  <c r="A124" i="8" s="1"/>
  <c r="A125" i="8" s="1"/>
  <c r="A126" i="8" s="1"/>
  <c r="A37" i="4"/>
  <c r="A18" i="4"/>
  <c r="A25" i="10"/>
  <c r="A38" i="4" a="1"/>
  <c r="A19" i="4" a="1"/>
  <c r="A26" i="10" a="1"/>
  <c r="A127" i="8" l="1"/>
  <c r="A128" i="8" s="1"/>
  <c r="A129" i="8" s="1"/>
  <c r="A130" i="8" s="1"/>
  <c r="A131" i="8" s="1"/>
  <c r="A132" i="8" s="1"/>
  <c r="A133" i="8" s="1"/>
  <c r="A134" i="8" s="1"/>
  <c r="A135" i="8" s="1"/>
  <c r="A136" i="8" s="1"/>
  <c r="A19" i="4"/>
  <c r="A38" i="4"/>
  <c r="A26" i="10"/>
  <c r="A27" i="10" a="1"/>
  <c r="A39" i="4" a="1"/>
  <c r="A137" i="8" l="1"/>
  <c r="A138" i="8" s="1"/>
  <c r="A139" i="8" s="1"/>
  <c r="A140" i="8" s="1"/>
  <c r="A141" i="8" s="1"/>
  <c r="A142" i="8" s="1"/>
  <c r="A143" i="8" s="1"/>
  <c r="A144" i="8" s="1"/>
  <c r="A145" i="8" s="1"/>
  <c r="A146" i="8" s="1"/>
  <c r="A39" i="4"/>
  <c r="A27" i="10"/>
  <c r="A40" i="4" a="1"/>
  <c r="A147" i="8" l="1"/>
  <c r="A148" i="8" s="1"/>
  <c r="A149" i="8" s="1"/>
  <c r="A150" i="8" s="1"/>
  <c r="A151" i="8" s="1"/>
  <c r="A152" i="8" s="1"/>
  <c r="A153" i="8" s="1"/>
  <c r="A154" i="8" s="1"/>
  <c r="A155" i="8" s="1"/>
  <c r="A156" i="8" s="1"/>
  <c r="A40" i="4"/>
  <c r="A41" i="4" a="1"/>
  <c r="A157" i="8" l="1"/>
  <c r="A158" i="8" s="1"/>
  <c r="A159" i="8" s="1"/>
  <c r="A160" i="8" s="1"/>
  <c r="A161" i="8" s="1"/>
  <c r="A162" i="8" s="1"/>
  <c r="A163" i="8" s="1"/>
  <c r="A164" i="8" s="1"/>
  <c r="A165" i="8" s="1"/>
  <c r="A166" i="8" s="1"/>
  <c r="A41" i="4"/>
  <c r="A42" i="4" a="1"/>
  <c r="A167" i="8" l="1"/>
  <c r="A168" i="8" s="1"/>
  <c r="A169" i="8" s="1"/>
  <c r="A170" i="8" s="1"/>
  <c r="A171" i="8" s="1"/>
  <c r="A172" i="8" s="1"/>
  <c r="A173" i="8" s="1"/>
  <c r="A174" i="8" s="1"/>
  <c r="A175" i="8" s="1"/>
  <c r="A176" i="8" s="1"/>
  <c r="A42" i="4"/>
  <c r="A177" i="8" l="1"/>
  <c r="A178" i="8" s="1"/>
  <c r="A179" i="8" s="1"/>
  <c r="A180" i="8" s="1"/>
  <c r="A181" i="8" s="1"/>
  <c r="A182" i="8" s="1"/>
  <c r="A183" i="8" s="1"/>
  <c r="A184" i="8" s="1"/>
  <c r="A185" i="8" s="1"/>
  <c r="A186" i="8" s="1"/>
  <c r="A191" i="8" l="1"/>
  <c r="A192" i="8" s="1"/>
  <c r="A193" i="8" s="1"/>
  <c r="A194" i="8" s="1"/>
  <c r="A195" i="8" s="1"/>
  <c r="A196" i="8" s="1"/>
  <c r="A197" i="8" s="1"/>
  <c r="A198" i="8" s="1"/>
  <c r="A199" i="8" s="1"/>
  <c r="A200" i="8" s="1"/>
  <c r="A201" i="8" l="1"/>
  <c r="A202" i="8" s="1"/>
  <c r="A203" i="8" s="1"/>
  <c r="A204" i="8" s="1"/>
  <c r="A205" i="8" s="1"/>
  <c r="A206" i="8" s="1"/>
  <c r="A207" i="8" s="1"/>
  <c r="A209" i="8" l="1"/>
  <c r="A210" i="8" s="1"/>
  <c r="A211" i="8" s="1"/>
  <c r="A212" i="8" s="1"/>
  <c r="A213" i="8" s="1"/>
  <c r="A214" i="8" s="1"/>
  <c r="A215" i="8" s="1"/>
  <c r="A216" i="8" s="1"/>
  <c r="A217" i="8" s="1"/>
  <c r="A218" i="8" s="1"/>
  <c r="A219" i="8" s="1"/>
  <c r="A220" i="8" s="1"/>
  <c r="A208" i="8"/>
  <c r="A222" i="8" l="1"/>
  <c r="A223" i="8" s="1"/>
  <c r="A224" i="8" s="1"/>
  <c r="A221" i="8"/>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<sst xmlns="http://schemas.openxmlformats.org/spreadsheetml/2006/main" count="5091" uniqueCount="688">
  <si>
    <t>Sl. No.</t>
  </si>
  <si>
    <t>API Requirement Name</t>
  </si>
  <si>
    <t>Status</t>
  </si>
  <si>
    <t>Remarks</t>
  </si>
  <si>
    <t xml:space="preserve">Create Loan Initial Drawdown </t>
  </si>
  <si>
    <t xml:space="preserve">Update  Loan Initial Drawdown </t>
  </si>
  <si>
    <t xml:space="preserve">Cancel Loan Initial Drawdown </t>
  </si>
  <si>
    <t xml:space="preserve">Delete Loan Initial Drawdown </t>
  </si>
  <si>
    <t xml:space="preserve">Search Loan Initial Drawdown </t>
  </si>
  <si>
    <t>Work in Progress</t>
  </si>
  <si>
    <t>Get Loan Initial Drawdown by RID</t>
  </si>
  <si>
    <t>Pending Items</t>
  </si>
  <si>
    <t>Validation and Error Messages</t>
  </si>
  <si>
    <t>Complex Workflows</t>
  </si>
  <si>
    <t>Version</t>
  </si>
  <si>
    <t>Changed by</t>
  </si>
  <si>
    <t>Summary</t>
  </si>
  <si>
    <t>Date</t>
  </si>
  <si>
    <t>Romesh Kumar</t>
  </si>
  <si>
    <t>Created</t>
  </si>
  <si>
    <t>Added Column "Present in TRANSACT" to identify all fields present in Transact</t>
  </si>
  <si>
    <t>Removed OID Support from all sheets</t>
  </si>
  <si>
    <t>Removed "History" from penaltySpreadHistory, penaltySpreadStatusHistory</t>
  </si>
  <si>
    <t>Changed matchFundedCOFFateBasis to matchFundedCOFRateBasis</t>
  </si>
  <si>
    <t>Removed percentOfFormula, percentOfForumlaUsage since they are part of UpdateLoan and NOT Drawdown</t>
  </si>
  <si>
    <t>Added loanId</t>
  </si>
  <si>
    <t xml:space="preserve">Removed LoanInitialDrawdown transaction Date </t>
  </si>
  <si>
    <t>Using StatusCode instead of Status</t>
  </si>
  <si>
    <t>Changed repricingAnniversaryDateRule to repricingAnniversaryDateEOMRule</t>
  </si>
  <si>
    <t>pastDuePricingDetail is now Identified as a independentPastDueFeesAndAccruals which is present under PastDuePricingDetail sub elemnt</t>
  </si>
  <si>
    <t>LoanPenaltySpreadAllInRateCapHistory &amp; LoanPenaltySpreadAllInRateFloorHistory is available in Update Loan API</t>
  </si>
  <si>
    <t>Added eventComment, accrueOnScheduleBalanceIndicator, CofSpread, doNotMail, doNotPrint, lateChargeRuleId, matchFundedCOFRateBasis, missedInterestPaymentDate, missedInterestPaymentOption, missedPrincipalPaymentDate, missedPrincipalPaymentOption, nmfSpread, nonAccrualCOFIndex, nonMatchFundedCOFIndex, pastDueGraceDays, preventOnlineDeletionIndicator since they are there in API ut not mentioned in Document</t>
  </si>
  <si>
    <t>Removing WorkFlow Template</t>
  </si>
  <si>
    <t>Updated Out of Scope Items</t>
  </si>
  <si>
    <t>Removed below attributes and moved to Out of scope:
isAccrueFromEffectiveDatePlus1	Not in DB
isAccrueCOFFromEffectiveDatePlus1	Not in DB
useSpotCcyFxRate	Not in DB
useFacilityCcyFxRate	Not in DB</t>
  </si>
  <si>
    <t>Akanksha</t>
  </si>
  <si>
    <t>Changed name to loantransactionRID to loanTransactionId, added comment in row 185, 186, 187- "will be delivered in first iteration"</t>
  </si>
  <si>
    <t>Changed "loanRID" to "LoanId"</t>
  </si>
  <si>
    <t>Changed "loan Alias" to "loanAlias"</t>
  </si>
  <si>
    <t>Changed name "Transaction RID/OID" to loanTransactionId</t>
  </si>
  <si>
    <t>Changed description in Update sheet"Required for Update call - Non Functional requirement, SYSTEM Derived and non-user updatable"</t>
  </si>
  <si>
    <t>Deleted "updateUserId" from GetById &amp; Update sheet</t>
  </si>
  <si>
    <t>Updating description and required field under "loanAlias" &amp; "loanId" for Create, Update &amp; GetById</t>
  </si>
  <si>
    <t>Draft Search call attributes updated</t>
  </si>
  <si>
    <t>Search spec reviewed by Dev Team</t>
  </si>
  <si>
    <r>
      <t xml:space="preserve">Attribute name changed "smeSystemSourceId" to "systemSourceId"
</t>
    </r>
    <r>
      <rPr>
        <b/>
        <sz val="11"/>
        <color theme="1"/>
        <rFont val="Calibri"/>
        <family val="2"/>
        <scheme val="minor"/>
      </rPr>
      <t xml:space="preserve">
facilityIdentifiers </t>
    </r>
    <r>
      <rPr>
        <sz val="11"/>
        <color theme="1"/>
        <rFont val="Calibri"/>
        <family val="2"/>
        <scheme val="minor"/>
      </rPr>
      <t xml:space="preserve">attribute categorisation for:- 
Facility CUSIP
Facility ISIN
Facility RID
Facility Control Number
interestRateIsFloating - New attribute added in LNID sheet.								</t>
    </r>
  </si>
  <si>
    <t>2/28/2024 - 3/5/2024</t>
  </si>
  <si>
    <r>
      <rPr>
        <b/>
        <sz val="11"/>
        <color theme="1"/>
        <rFont val="Calibri"/>
        <family val="2"/>
        <scheme val="minor"/>
      </rPr>
      <t>loanId</t>
    </r>
    <r>
      <rPr>
        <sz val="11"/>
        <color theme="1"/>
        <rFont val="Calibri"/>
        <family val="2"/>
        <scheme val="minor"/>
      </rPr>
      <t xml:space="preserve"> attribute added in response of create, update &amp; GetByID
New Column - Under Scope 7.7.0.0 added</t>
    </r>
  </si>
  <si>
    <t>Updatable field for Pricing Option changed from Yes to No(LIQ-149111)</t>
  </si>
  <si>
    <t>Identifier Structure Incorporated</t>
  </si>
  <si>
    <t>As part of LIQSC-46639
below fields are updatable as per online and is made updatable in REST API 
racRate
lookbackDays
lockoutDays</t>
  </si>
  <si>
    <t>Sukhander</t>
  </si>
  <si>
    <t>Added Composite Key(Spread Code, Currency, Funding Desk, Tenor) as Identifier to Update the Spread component rate</t>
  </si>
  <si>
    <t>Updated the Attribute Existing in SOAP API  (Y/N) column from Blank to Y or N</t>
  </si>
  <si>
    <t>Updated th AnniversaryDate related attributes to Updatable as Y in Update call</t>
  </si>
  <si>
    <t>Prerequisites</t>
  </si>
  <si>
    <t>For this API, the following should be the pre-requisites:
1. Deal is in closed status.
2. Loan start date should be greater than Facility Effective Date.
3. Loan amount is less than the current Available To Draw for the Facility, currency, borrower, Risk Type and Sublimit.
4. Borrower is eligible for loan drawdown under the Deal.
5. Loan currency is an eligible currency in the Deal.</t>
  </si>
  <si>
    <t xml:space="preserve">All derivation logic &amp; validations that are currently done in ONLINE Loan IQ for this workflow item should be applicale for this API as well. </t>
  </si>
  <si>
    <t>This API is for creating Loan Initial Drawdown only in a PENDING state</t>
  </si>
  <si>
    <t>INPUT</t>
  </si>
  <si>
    <t>Sl No.</t>
  </si>
  <si>
    <t>Attribute Category</t>
  </si>
  <si>
    <t>Multiple instances allowed for Attribute Category (Y/N)</t>
  </si>
  <si>
    <t>Attribute Category Required (Y/N)</t>
  </si>
  <si>
    <t>Attribute Sub Category|Attribute Sub Category Required (Y/N)|Multiple instances allowed for Attribute Category (Y/N)</t>
  </si>
  <si>
    <t>Attriute Field Name</t>
  </si>
  <si>
    <t>Data Type</t>
  </si>
  <si>
    <t>Attriute Field Required (Y/N)</t>
  </si>
  <si>
    <t>Description and Validation</t>
  </si>
  <si>
    <t>Description Swagger</t>
  </si>
  <si>
    <t>Default Value</t>
  </si>
  <si>
    <t>Attriute Field Multiple Values allowed (Y/N)</t>
  </si>
  <si>
    <t>Translation Required (Y/N)</t>
  </si>
  <si>
    <t>Translation Logic</t>
  </si>
  <si>
    <t>Code Table</t>
  </si>
  <si>
    <t>Questions/Comments</t>
  </si>
  <si>
    <t>QA Scope 7.7.0.0</t>
  </si>
  <si>
    <t>Attribute Existing in SOAP API  (Y/N)</t>
  </si>
  <si>
    <t>Present in TRANSACT (Y/N)</t>
  </si>
  <si>
    <t>New Validation</t>
  </si>
  <si>
    <t>requestedAmount</t>
  </si>
  <si>
    <t>numeric</t>
  </si>
  <si>
    <t>Y</t>
  </si>
  <si>
    <t>Any value zero or greater is allowed. Cannot e NULL</t>
  </si>
  <si>
    <r>
      <rPr>
        <b/>
        <sz val="11"/>
        <color rgb="FF92D050"/>
        <rFont val="Calibri"/>
        <scheme val="minor"/>
      </rPr>
      <t xml:space="preserve"> </t>
    </r>
    <r>
      <rPr>
        <b/>
        <sz val="11"/>
        <color rgb="FF00B050"/>
        <rFont val="Calibri"/>
        <scheme val="minor"/>
      </rPr>
      <t>Cannot be more than the facility " Available to Draw" limit
 The field can only be modified
via the ‘Modify Requested Amount’ item available under the
Options menu in the relevant notebook.</t>
    </r>
  </si>
  <si>
    <t>N</t>
  </si>
  <si>
    <t>will be delivered in first iteration</t>
  </si>
  <si>
    <t>under scope 7.7.0.0</t>
  </si>
  <si>
    <t>effectiveDate</t>
  </si>
  <si>
    <t>Loan Effective Date cannot be prior to Facility Effective Date and must be less than Repricing Date and Loan Maturity Date, if specified.</t>
  </si>
  <si>
    <t xml:space="preserve">noteDate </t>
  </si>
  <si>
    <t>The Note Date is the effective date of the original mortgage. This field has been added for reporting purposes</t>
  </si>
  <si>
    <t>When system parameter INDTO, is set to Y, the Include
Note Date in Outstanding Notebook functionality applies.
System parameter INDTO defaults to N.</t>
  </si>
  <si>
    <t>facilityIdentifier</t>
  </si>
  <si>
    <t>identifierTtype</t>
  </si>
  <si>
    <t>Enum</t>
  </si>
  <si>
    <t xml:space="preserve">Following types should be supported : controlNumber,CUSIP, ISIN, id
</t>
  </si>
  <si>
    <t>identifiervalue</t>
  </si>
  <si>
    <t>String</t>
  </si>
  <si>
    <t>Value of the identifier mentioned in the type.</t>
  </si>
  <si>
    <t>pricingOption</t>
  </si>
  <si>
    <t>Alphanumeric</t>
  </si>
  <si>
    <t>Must match one of the interest pricing options defined in the Deal.</t>
  </si>
  <si>
    <t xml:space="preserve"> codeTable=Pricing Option Name</t>
  </si>
  <si>
    <t>riskType</t>
  </si>
  <si>
    <t>Validation: Must match one of the active values in the Risk Type table.</t>
  </si>
  <si>
    <t>Code to Description conversion rules</t>
  </si>
  <si>
    <t xml:space="preserve"> codeTable=Risk Type</t>
  </si>
  <si>
    <t>outstandingIdentifier</t>
  </si>
  <si>
    <t>identifierType</t>
  </si>
  <si>
    <r>
      <t xml:space="preserve">"alias" is changed to "loanAlias"
</t>
    </r>
    <r>
      <rPr>
        <b/>
        <sz val="11"/>
        <rFont val="Calibri"/>
        <family val="2"/>
        <scheme val="minor"/>
      </rPr>
      <t>Conditionally Required</t>
    </r>
    <r>
      <rPr>
        <sz val="11"/>
        <rFont val="Calibri"/>
        <family val="2"/>
        <scheme val="minor"/>
      </rPr>
      <t xml:space="preserve">
loanAlias
Validation: Required to save. Must be unique within Bank. If not passed to the API, will be generated by the system as follows:
·         If LOALI system parameter is set to CSN or CID, then alias is generated from first 10 characters of the Customer Short Name or External Customer ID, respectively.
·         If LOALI system parameter is set to BRN, then alias is generated from last 8 digits of the External ID table.
·         If LOALI parameter is blank, not specified at all or has been de-activated, the loanAlias will be system-generated from RID algorithm.
</t>
    </r>
    <r>
      <rPr>
        <b/>
        <sz val="11"/>
        <rFont val="Calibri"/>
        <family val="2"/>
        <scheme val="minor"/>
      </rPr>
      <t>Following type should be supported : alias</t>
    </r>
    <r>
      <rPr>
        <sz val="11"/>
        <rFont val="Calibri"/>
        <family val="2"/>
        <scheme val="minor"/>
      </rPr>
      <t xml:space="preserve">
</t>
    </r>
  </si>
  <si>
    <t>identifierValue</t>
  </si>
  <si>
    <t xml:space="preserve">String </t>
  </si>
  <si>
    <t>Value of the identifier mentioned in the type. Alias should be alphanumeric</t>
  </si>
  <si>
    <t>borrowerIdentifier</t>
  </si>
  <si>
    <t>Following types should be supported : Legal name, Short name, External Id, Alternate Id, Id, alias.
For customerAlias:{
		"type":"",
		"value":"",
	}</t>
  </si>
  <si>
    <t>RID to OID conversion Rules</t>
  </si>
  <si>
    <t>Value of the identifier mentioned in type.Must match one of the Facility borrowers.</t>
  </si>
  <si>
    <t>currency</t>
  </si>
  <si>
    <t>Validation: Must match the Facility currency or one of the “allowable currencies” defined in the Facility</t>
  </si>
  <si>
    <t xml:space="preserve">
Overridable only at the Initial Loan Drawdown notebook</t>
  </si>
  <si>
    <t xml:space="preserve"> codeTable=Currency</t>
  </si>
  <si>
    <t>fxRate</t>
  </si>
  <si>
    <t>Validation: User may enter the F/X Rate directly, or select either: 
·         Use Spot F/X Rate indicator to set F/X Rate equal to the displayed Spot F/X Rate.
·         Use Facility F/X Rate indicator to set F/R rate to the displayed Facility F/X Rate.</t>
  </si>
  <si>
    <t>useFacilityCcyFxRate</t>
  </si>
  <si>
    <t>Boolean</t>
  </si>
  <si>
    <t>Use Facility Currency F/X Rate Indicator Sets the F/X Rate to the displayed Facility F/X Rate, which flows down from the Facility Notebook. 
Validation: Must be N if an F/X Rate is entered OR the useSpotCcyFxRate indicator is set to Y.</t>
  </si>
  <si>
    <t>useSpotCcyFxRate</t>
  </si>
  <si>
    <t>Use Spot Currency F/X Rate Indicator Sets the F/X Rate to the displayed Spot F/X Rate. 
Validation: Must be N if an F/X Rate is entered OR the useFacilityCcyFxRate indicator is set to Y.</t>
  </si>
  <si>
    <t>payInArrearsIndicator</t>
  </si>
  <si>
    <t>When a loan is paid in arrears, the system bases the
calculation of the Adjusted Due Date on the Actual Due Date of
the accrual cycle. When “Paid in Arrears” applies, and the
Specific Day Rule applies (see field below), the system sets the
Adjusted Due Date to that particular calendar date so that it
falls ON or AFTER the Actual Due Date.</t>
  </si>
  <si>
    <t>accrualPeriod</t>
  </si>
  <si>
    <t>Validation: Defines the Interest Frequency. Must match one of the active values in the Accrual Period Table that is valid for the selected Base Rate.</t>
  </si>
  <si>
    <r>
      <rPr>
        <sz val="9"/>
        <color rgb="FF000000"/>
        <rFont val="Roboto"/>
      </rPr>
      <t xml:space="preserve">Validation: </t>
    </r>
    <r>
      <rPr>
        <b/>
        <sz val="9"/>
        <color rgb="FFFF0000"/>
        <rFont val="Roboto"/>
      </rPr>
      <t>Defines the Interest Frequency.</t>
    </r>
    <r>
      <rPr>
        <sz val="9"/>
        <color rgb="FF000000"/>
        <rFont val="Roboto"/>
      </rPr>
      <t xml:space="preserve"> Must match one of the active values in the Accrual Period Table that is valid for the selected Base Rate.</t>
    </r>
  </si>
  <si>
    <t xml:space="preserve"> codeTable=Accrual Period</t>
  </si>
  <si>
    <t>Y, Interest Cycle Frequency</t>
  </si>
  <si>
    <t>actualDueDate</t>
  </si>
  <si>
    <t>Validation: If not specified, the Actual Due Date will be calculated by system from the Loan Effective Date and Interest Frequency. If specified will not be overlaid by system calculations. Adjusted Due Date and Accrual End Date will be calculated by the system..</t>
  </si>
  <si>
    <t>adjustedDueDate</t>
  </si>
  <si>
    <t>Validation: Conditional – Defaults to the Actual Due Date unless actual due date falls on a non-business day (in which case, it will be adjusted forwards or backwards as dictated by the selected pricing option’s Non Business Day rule). May be modified by the user but cannot be less than the Current Cycle Start Date or less than the current date.</t>
  </si>
  <si>
    <t xml:space="preserve"> Defaults to the Actual Due Date unless actual due date falls on a non-business day (in which case, it will be adjusted forwards or backwards as dictated by the selected pricing option’s Non Business Day rule)</t>
  </si>
  <si>
    <t>endOfMonthRule</t>
  </si>
  <si>
    <r>
      <t xml:space="preserve">Validation: Must match a valid value in the Actual Due Date Rule table. Any value passed by the API for the EOM Rule in the Loan will be ignored and the EOM Rule in the loan will be set to </t>
    </r>
    <r>
      <rPr>
        <i/>
        <sz val="9"/>
        <rFont val="Roboto"/>
      </rPr>
      <t>EOM</t>
    </r>
    <r>
      <rPr>
        <sz val="9"/>
        <rFont val="Roboto"/>
      </rPr>
      <t xml:space="preserve"> and protected.</t>
    </r>
  </si>
  <si>
    <t xml:space="preserve"> codeTable=Actual Due Date Rule</t>
  </si>
  <si>
    <t>accrueToThru</t>
  </si>
  <si>
    <t>Validation: Must match one of the values on the Accrual End Date Rule table.
If Fixed Payment (P&amp;I) is the only repayment schedule type passed, then the only allowable value is the code that references Accrue to the actual due date on the Accrual End Date Rule table.
If the Pay in Advance/Arrears indicator is set to Y (Advance), then the only allowable values accepted by the API will be the codes that relate to Accrue to the actual due date and Accrue thru the Actual Due Date on the Accrual End Date Rule table.</t>
  </si>
  <si>
    <t xml:space="preserve"> codeTable=Accrual End Date Rule</t>
  </si>
  <si>
    <t>baseRate</t>
  </si>
  <si>
    <t>Percentage</t>
  </si>
  <si>
    <t xml:space="preserve">Validation: Applies to Fixed Rate loans only. Do not pass to the API if Pricing Option indicates that “Borrower Rate is Floating.” in the Pricing Option Name Table. </t>
  </si>
  <si>
    <t>As part of a new functionality patched to Release 6.0.10.05,
a Borrower Base Rate of zero percent is allowed. A warning
message prompts the user to continue or input another rate
value. A Borrower Base rate value of zero percent is not a
constraint for generating and sent Rate Setting Notices. The
availability of this functionality is determined by the system
parameter ABROZ (Allow Borrower Rate of Zero).
Borrower Rate is Floating - Displays the value calculated by
the system for the Base Rate formula in effect. The formula
is obtained from Facility Interest Pricing and evaluated by
referencing Funding Rates Table, whose rates are set via the
Treasury function.
Beginning with Release 5.5 and forward, the Base Rate will
not appear until the drawdown notebook has been saved.</t>
  </si>
  <si>
    <t>racRate</t>
  </si>
  <si>
    <t>Numeric</t>
  </si>
  <si>
    <t>Validation: Passing a value for a loan for which the RAC Applies Indicator has NOT been checked on the Currency Detail Screen in the Facility Notebook for the Outstanding’s Actual Currency results in an error.</t>
  </si>
  <si>
    <t>cofRate</t>
  </si>
  <si>
    <t>Validation: Rate for COF Accrual. Required to approve a matchfunded loan. If not passed to the API, must be entered manually on-line. Will flow down and populate the COF Rate in every matchfunded Host Bank Portfolio Loan Share.</t>
  </si>
  <si>
    <t>floatSpreadStartDate</t>
  </si>
  <si>
    <t>Validation: Defaults to the Loan Effective date but may be any valid date greater than the Loan Effective Date. Defines the date after which spread changes from Facility Pricing will flow down and affect this loan.</t>
  </si>
  <si>
    <t>Defaults to the Loan Effective date but may be any valid date greater than the Loan Effective Date</t>
  </si>
  <si>
    <t>matchFundedCOFRateBasis</t>
  </si>
  <si>
    <t>Validation: If not specified, and loan is matchfunded, will default to the Rate Basis defined for Borrower Base Rate. If passed to the API, must match an active value in the Rate Basis Table.</t>
  </si>
  <si>
    <t xml:space="preserve"> If not specified, and loan is matchfunded, will default to the Rate Basis defined for Borrower Base Rate</t>
  </si>
  <si>
    <t xml:space="preserve"> codeTable=Rate Basis</t>
  </si>
  <si>
    <t>cofTicketNumber</t>
  </si>
  <si>
    <t>matchFundedIndicator</t>
  </si>
  <si>
    <t>Validation: If matchFundedIndicator is used and it differs from the default specified by the pricing option, and is specified as not overridable by the pricing option, an error will be returned ‘Pricing option does not allow matchfunded indicator to be overridden’</t>
  </si>
  <si>
    <t>as specified by the pricing option</t>
  </si>
  <si>
    <t>maturityDate</t>
  </si>
  <si>
    <t>Validation: Required for approval if pricing option indicates “Maturity Date is Required.” Will be needed if user wishes to define a Loan Repayment Schedule manually. If ‘Repricing Date Applies’, cannot be less than the Repricing Date.</t>
  </si>
  <si>
    <t>Flows down from Loan Maturity Date if a maturity date exists.</t>
  </si>
  <si>
    <t>nonAccrual</t>
  </si>
  <si>
    <t xml:space="preserve">Validation: If the Facility performing status is ‘Accrual’, the performing status of an individual pending initial drawdown will be set to accrual also, unless the ‘Non-accrual’ indicator is set to ‘Yes.’
If Facility performing status is ‘Non-accrual’ or ‘Partially/Fully Charged Off’, the new Outstanding is also created as ‘non-accrual’ or ‘partially/fully charged off’ and cannot be changed, so that the indicator, if passed to the API will be ignored. </t>
  </si>
  <si>
    <t>spreadIsFixed</t>
  </si>
  <si>
    <t xml:space="preserve">Validation: If Y, spread entered in the drawdown is kept after release and it won’t float. </t>
  </si>
  <si>
    <t>purpose</t>
  </si>
  <si>
    <t>Validation: Required to approve. Must match one of the Facility Purposes Codes.</t>
  </si>
  <si>
    <t xml:space="preserve"> codeTable=Loan Purpose</t>
  </si>
  <si>
    <t>rateBasis</t>
  </si>
  <si>
    <t>Validation: Defaults to the Rate Basis specified in Facility Interest Pricing Text. If passed to the API, must match an active value in the Rate Basis Table.</t>
  </si>
  <si>
    <t>Defaults to the Rate Basis specified in Facility Interest Pricing Text.</t>
  </si>
  <si>
    <t>repricingDate</t>
  </si>
  <si>
    <t>Validation: Required only if pricing option’s “Repricing Date and Frequency are Required” indicator has been set to ‘Yes’, must be greater than Loan Effective Date and cannot be greater than Loan Maturity Date.</t>
  </si>
  <si>
    <t>System calculates the Repricing Date from the selected
Repricing Frequency, but user may modify calculated value.
Error is issued if Repricing Date is not greater than the Effective
Date or is less than the current date.</t>
  </si>
  <si>
    <t>repricingFrequency</t>
  </si>
  <si>
    <t>Validation: Required only if pricing option’s “Repricing Date and Frequency are Required” indicator has been set to ‘Yes’. Must match one of the active values in the Base Rate Frequency Table that is valid for the selected Base Rate.</t>
  </si>
  <si>
    <t xml:space="preserve"> codeTable=Base Rate Frequency</t>
  </si>
  <si>
    <t>spread</t>
  </si>
  <si>
    <r>
      <rPr>
        <sz val="9"/>
        <color rgb="FF000000"/>
        <rFont val="Roboto"/>
      </rPr>
      <t xml:space="preserve">Validation: Spread passed to the API must be protected by also specifying a </t>
    </r>
    <r>
      <rPr>
        <i/>
        <sz val="9"/>
        <color rgb="FF000000"/>
        <rFont val="Roboto"/>
      </rPr>
      <t>floatSpreadStartDate</t>
    </r>
    <r>
      <rPr>
        <sz val="9"/>
        <color rgb="FF000000"/>
        <rFont val="Roboto"/>
      </rPr>
      <t xml:space="preserve"> that is greater than the </t>
    </r>
    <r>
      <rPr>
        <i/>
        <sz val="9"/>
        <color rgb="FF000000"/>
        <rFont val="Roboto"/>
      </rPr>
      <t>effectiveDate</t>
    </r>
    <r>
      <rPr>
        <sz val="9"/>
        <color rgb="FF000000"/>
        <rFont val="Roboto"/>
      </rPr>
      <t>. Otherwise, the spread defined in the Facility Interest Pricing Text for the relevant pricing option will flow down and overlay the Spread that was defined to the API for this loan.</t>
    </r>
  </si>
  <si>
    <t>propertyName</t>
  </si>
  <si>
    <t>The name of the Property involved in the loan.
Note: This field is used for reporting purposes only and has no functionality in Loan IQ,.</t>
  </si>
  <si>
    <t>repaymentScheduleSync</t>
  </si>
  <si>
    <t>Validations:
Scenario 1: If the indicator is not passed in the Create Loan Initial Drawdown call, the value of repaymentScheduleSync Indicator is populated based on the passed in Facility sync indicator setting. 
For example, if the passed in Facility Sync indicator is checked the Loan Initial drawdown indicator is also checked.
Scenario 2: If this indicator is passed in either through the Create or Update call it populates the repayment schedule in the Loan Initial Drawdown as per current online behavior according to the Auto Reduce Facility functionality. 
However, the system returns an error if this indicator is passed in when the Loan Initial Drawdown is not created successfully or , in the absence of attributes /conditions required for creating a Repayment Schedule in line with the Auto Reduce Facility functionality.</t>
  </si>
  <si>
    <t>sublimitName</t>
  </si>
  <si>
    <t>Validation: The value passed in this field must match the Sublimit Name of a valid sublimit defined for the Borrower, Risk Type and Outstanding Type at the Facility level. If the value passed in via this field does not meet the above criteria, the API fails and returns an error.</t>
  </si>
  <si>
    <t>adjustedDueDateRule</t>
  </si>
  <si>
    <t>Validation: Any number between 1 and 31 can be passed in this field.</t>
  </si>
  <si>
    <t>netFirstInterestPayment</t>
  </si>
  <si>
    <t>Defaults to N.</t>
  </si>
  <si>
    <t>consolidationType</t>
  </si>
  <si>
    <t>Valid values: DEA, FAC, BOR, NONE, OST. If no value is passed then default value flows down from Outstanding level.</t>
  </si>
  <si>
    <t>If no value is passed then default value flows down from Outstanding level.</t>
  </si>
  <si>
    <t xml:space="preserve"> codeTable=Consolidated Billing Option Types</t>
  </si>
  <si>
    <t>repricingAnniversaryDateApplies</t>
  </si>
  <si>
    <r>
      <t xml:space="preserve">Validation: If no value is passed in or if indicator is set to </t>
    </r>
    <r>
      <rPr>
        <i/>
        <sz val="9"/>
        <rFont val="Roboto"/>
      </rPr>
      <t>N</t>
    </r>
    <r>
      <rPr>
        <sz val="9"/>
        <rFont val="Roboto"/>
      </rPr>
      <t>, it is invalid to pass in the Anniversary Date or Anniversary Date EOM Rule.</t>
    </r>
  </si>
  <si>
    <t>repricingAnniversaryDate</t>
  </si>
  <si>
    <t>·         API will fail if repricingAnniversaryDate field is passed in and Anniversary Date does not apply.
·         API will fail if repricingAnniversaryDate field is passed in and the loan’s pricing option does not have a repricing date, for example, the Repricing Date Applies indicator is checked.</t>
  </si>
  <si>
    <t>repricingAnniversaryDateEOMRule</t>
  </si>
  <si>
    <t>If no value is passed in but the repricing anniversary date is one for which an EOM rule is valid, the rule defaults as per online functionality.
·         API will fail if repricingAnniversaryDateRule field is passed in without also passing in a Repricing Anniversary Date. 
·         API will fail if the Anniversary Date is not one for which an EOM rule would be available online or if the code passed in is not valid for the Repricing Anniversary Date.</t>
  </si>
  <si>
    <t>If no value is passed in but the repricing anniversary date is one for which an EOM rule is valid, the rule defaults as per online functionality.</t>
  </si>
  <si>
    <t>roundingRulesFractionRounding</t>
  </si>
  <si>
    <t>Rounding Fractions</t>
  </si>
  <si>
    <t>roundingRulesFractionInitialRate</t>
  </si>
  <si>
    <t xml:space="preserve"> codeTable=Rounding Value</t>
  </si>
  <si>
    <t>roundingRulesDecimalRounding</t>
  </si>
  <si>
    <t>Rounding Decimals</t>
  </si>
  <si>
    <t>roundingRulesDecimalPrecision</t>
  </si>
  <si>
    <t xml:space="preserve"> codeTable=Rounding Decimal Precision</t>
  </si>
  <si>
    <t>roundingApplicationMethod</t>
  </si>
  <si>
    <t>·         None
·         Upward – always round up
·         Downward – always round down
·         Nearest – if 5 and above round up, when below 5 round down.</t>
  </si>
  <si>
    <t xml:space="preserve"> codeTable=Rounding Application Method</t>
  </si>
  <si>
    <t>IncludeinXMLBill</t>
  </si>
  <si>
    <t>Validation: This indicator is a required field on the database. For all the existing Deals, if the DoNotPrint indicator is set to Y, this indicator is set to N; else, this indicator is set to Y.</t>
  </si>
  <si>
    <t>allInRateCap</t>
  </si>
  <si>
    <t>allInRateFloor</t>
  </si>
  <si>
    <t>billCareOfContactIndicator</t>
  </si>
  <si>
    <t>Validation: The following validations are applicable when the Bill Care-of Contact indicator is updated via the CreateLoanDrawdown API: - 
The indicator can be checked with appropriate validations.
When a valid Care of Contact does not exist in the Borrower Servicing Group, then a hard error occurs.
The indicator can be removed without any validation.</t>
  </si>
  <si>
    <t>Default value = N.</t>
  </si>
  <si>
    <t>pledgeCode</t>
  </si>
  <si>
    <t>Validations:
1.       If the pledge code sent is not present in the ‘Pledge Codes’ code table – the API will raise an error for invalid pledge code.
2.       If pledge code is not passed or is empty, the API will skip the validation and proceed.</t>
  </si>
  <si>
    <t>Drop down values are populated from the Pledge
Codes table in Table Maintenance. The user must
have update access to the Pledge Codes function
in User Profile to change these values</t>
  </si>
  <si>
    <t xml:space="preserve"> codeTable=Pledge Codes</t>
  </si>
  <si>
    <t>penaltySpread</t>
  </si>
  <si>
    <t>penaltySpreadStatus</t>
  </si>
  <si>
    <t>penaltySpreadAllInRateCap</t>
  </si>
  <si>
    <t>penaltySpreadAllInRateFloor</t>
  </si>
  <si>
    <t>interestScheduleForRepricingDates</t>
  </si>
  <si>
    <t xml:space="preserve">Validation: The Use Interest Schedule To Derive Repricing Dates functionality is applicable only for loans with Flex Schedules, where the interest payment schedules have irregular payment dates. </t>
  </si>
  <si>
    <t>InterpolatedRateApplies</t>
  </si>
  <si>
    <t xml:space="preserve">Validation: If not specified, Loan IQ will use the rate associated with the Repricing Frequency for calculation. </t>
  </si>
  <si>
    <t>alternateReferenceRatesRateBasis</t>
  </si>
  <si>
    <t>lookbackDays</t>
  </si>
  <si>
    <t>type: Integer</t>
  </si>
  <si>
    <t>lockoutDays</t>
  </si>
  <si>
    <t>observPeriodShift</t>
  </si>
  <si>
    <t>spreadAdjApplies</t>
  </si>
  <si>
    <t>spreadAdjRate</t>
  </si>
  <si>
    <t>type: Numeric</t>
  </si>
  <si>
    <t>baseRateFloor</t>
  </si>
  <si>
    <t>ccrRoundingPrecision</t>
  </si>
  <si>
    <t>clearCcr</t>
  </si>
  <si>
    <t>legacyBaseRateFloor</t>
  </si>
  <si>
    <t>paymentLagDays</t>
  </si>
  <si>
    <t>systemSourceId</t>
  </si>
  <si>
    <t>codeTable=Source System ID</t>
  </si>
  <si>
    <t>sourceRefNum</t>
  </si>
  <si>
    <t>interestRateIsFloating</t>
  </si>
  <si>
    <t>baseRateFloorNotApplicableInd</t>
  </si>
  <si>
    <t>legacyBaseRateFloorNotApplicableInd</t>
  </si>
  <si>
    <t>cofArrCalcMethod</t>
  </si>
  <si>
    <t>cofAlternateReferenceRatesRateBasis</t>
  </si>
  <si>
    <t>cofLookbackDays</t>
  </si>
  <si>
    <t>Integer</t>
  </si>
  <si>
    <t>cofLockoutDays</t>
  </si>
  <si>
    <t>cofObservPeriodShift</t>
  </si>
  <si>
    <t>cofBaseRateFloor</t>
  </si>
  <si>
    <t>cofLegacyBaseRateFloor</t>
  </si>
  <si>
    <t>cofCcrRoundingPrecision</t>
  </si>
  <si>
    <t>cofClearCcr</t>
  </si>
  <si>
    <t>UseCOFFormula</t>
  </si>
  <si>
    <t>eventComment</t>
  </si>
  <si>
    <t>accrueOnScheduleBalanceIndicator</t>
  </si>
  <si>
    <t>cofSpread</t>
  </si>
  <si>
    <t>doNotMail</t>
  </si>
  <si>
    <t>doNotPrint</t>
  </si>
  <si>
    <t>lateChargeRuleId</t>
  </si>
  <si>
    <t>missedInterestPaymentDate</t>
  </si>
  <si>
    <t>missedInterestPaymentOption</t>
  </si>
  <si>
    <t>missedPrincipalPaymentDate</t>
  </si>
  <si>
    <t>missedPrincipalPaymentOption</t>
  </si>
  <si>
    <t>nmfSpread</t>
  </si>
  <si>
    <t>nonAccrualCOFIndex</t>
  </si>
  <si>
    <t>nonMatchFundedCOFIndex</t>
  </si>
  <si>
    <t>pastDueGraceDays</t>
  </si>
  <si>
    <t>preventOnlineDeletionIndicator</t>
  </si>
  <si>
    <t>failOnPartialSuccessMode</t>
  </si>
  <si>
    <t>BorrowerServicingGroup</t>
  </si>
  <si>
    <t>ProfileType</t>
  </si>
  <si>
    <t>Validation: Must indicate a Borrower profile.</t>
  </si>
  <si>
    <t>codeTable: Profile Type</t>
  </si>
  <si>
    <t>locationCode</t>
  </si>
  <si>
    <t>Validation: Must match a completed location for the referenced profileType.</t>
  </si>
  <si>
    <t>codeTable: Location</t>
  </si>
  <si>
    <t>Alias</t>
  </si>
  <si>
    <t>Validation: Must match an active Servicing Group defined in the referenced locationCode.</t>
  </si>
  <si>
    <t>PastDuePricingDetail</t>
  </si>
  <si>
    <t>independentPastDueFeesAndAccruals</t>
  </si>
  <si>
    <t>eventFeeTypeCode</t>
  </si>
  <si>
    <t>codeTable: Pricing Fee Type</t>
  </si>
  <si>
    <t>flatFeeRate</t>
  </si>
  <si>
    <t>flatFeeBaseRateCode</t>
  </si>
  <si>
    <t>codeTable: Base Rate</t>
  </si>
  <si>
    <t>PricingOption</t>
  </si>
  <si>
    <t>Validation: Must match one of the interest pricing options defined in the Deal.</t>
  </si>
  <si>
    <t>CodeTable: Pricing Option Name</t>
  </si>
  <si>
    <t>Code Table: Rate Basis</t>
  </si>
  <si>
    <t>spreadRateBasis</t>
  </si>
  <si>
    <t>codeTable: Rate Basis</t>
  </si>
  <si>
    <t>accountingRateBasis</t>
  </si>
  <si>
    <t>PastDuePricing</t>
  </si>
  <si>
    <t>optionName</t>
  </si>
  <si>
    <t>Validation: Must match an active entry in the Pricing Option Name table and must also match one of the Allowable Pricing Options set up at the Deal level (in Deal Pricing Rules).</t>
  </si>
  <si>
    <t>Validation: Must match a valid value in the Base Rate table that is valid for the indicated Pricing Option (as per the Option Name and Base Rate Association table.</t>
  </si>
  <si>
    <t>Validation: If specified, must be expressed as decimal (not as a percentage, and not in basis points). For example, if the spread is 1% (100 BP), a value of 0.01 must be passed. Decimal value can be either positive or negative.</t>
  </si>
  <si>
    <t xml:space="preserve">If not specified, defaults to zero. </t>
  </si>
  <si>
    <t>COFPricingFormula</t>
  </si>
  <si>
    <t>rateCode</t>
  </si>
  <si>
    <r>
      <t xml:space="preserve">This attribute is available to use only when </t>
    </r>
    <r>
      <rPr>
        <i/>
        <sz val="10"/>
        <color rgb="FF414141"/>
        <rFont val="Roboto"/>
      </rPr>
      <t>UseCOFFormula</t>
    </r>
    <r>
      <rPr>
        <sz val="10"/>
        <color rgb="FF414141"/>
        <rFont val="Roboto"/>
      </rPr>
      <t xml:space="preserve"> is Y.</t>
    </r>
  </si>
  <si>
    <r>
      <t xml:space="preserve">This attribute is available to use only when </t>
    </r>
    <r>
      <rPr>
        <i/>
        <sz val="10"/>
        <color rgb="FF414141"/>
        <rFont val="Roboto"/>
      </rPr>
      <t>UseCOFFormula</t>
    </r>
    <r>
      <rPr>
        <sz val="10"/>
        <color rgb="FF414141"/>
        <rFont val="Roboto"/>
      </rPr>
      <t xml:space="preserve"> is Y. </t>
    </r>
  </si>
  <si>
    <t>OutstandingSubsidy</t>
  </si>
  <si>
    <t>borrowerIdentifier|Y|N|</t>
  </si>
  <si>
    <t>Following types are supported : legalName, shortName, externalId, id, alternateId,alias.
For customerAlias:{
		"type":"",
		"value":"",
	}
 Validation: The Customer ID that uniquely identifies the Customer. An active Lender or borrower Profile must be in existence, and it must have at least one completed location. The Location and Servicing Group default to the only available choices, if possible. The system defaults the Servicing Group to the active choice that has been flagged as the standard Servicing Group for that lender location if more than one exists. If more than one choice for the Location and/or Servicing Group exists, the client can supply this information via the Deal</t>
  </si>
  <si>
    <t>Value of the identifier mentioned in the type</t>
  </si>
  <si>
    <t>subsidyInterestRate</t>
  </si>
  <si>
    <t>Cannot be a negative Rate
Cannot be equal to zero or greater than 25%</t>
  </si>
  <si>
    <t>OngoingFeeDates</t>
  </si>
  <si>
    <t>feeCode</t>
  </si>
  <si>
    <t xml:space="preserve">Validation: Must be passed in all cases and pricing for the fee type must exist in order for the pending fee to be created. The Fee Type code will be used to identify the fee that is to be updated. If multiple fees exist for a fee type under the Outstanding being updated, all of those fees will be updated and an information message issued alerting this user to this fact. </t>
  </si>
  <si>
    <t>Validation: Cannot be earlier than the Outstanding Effective Date. On create, cannot be passed if no Outstanding Effective Date is passed. On update, Outstanding Effective Date must exist. 
Note: Must have at least one of Adjusted Due Date or Effective Date.</t>
  </si>
  <si>
    <t>Validation: If passed, cannot be earlier than Outstanding Effective Date or Fee effective Date. 
Note: Must have at least one of Adjusted Due Date or Effective Date.</t>
  </si>
  <si>
    <t>deleteIndicator</t>
  </si>
  <si>
    <t>If multiple fees exist for a fee type under the Outstanding being updated, all of those fees will be deleted. 
Validation: If the fee is released you cannot delete it.</t>
  </si>
  <si>
    <t>OutstandingOngoingFeePricing</t>
  </si>
  <si>
    <t>category</t>
  </si>
  <si>
    <t>Validation: Category Code passed must match OONG Pricing Fee Category table:</t>
  </si>
  <si>
    <t>codeTable: Pricing Fee Category</t>
  </si>
  <si>
    <t>type</t>
  </si>
  <si>
    <t>Validation: Must match an active entry in the Pricing Fee Type table which has an associated Pricing Fee Category is OONG values defined above.</t>
  </si>
  <si>
    <t>Validation: Must match an active entry in the Rate Basis table.</t>
  </si>
  <si>
    <t>rate</t>
  </si>
  <si>
    <t>Validation: Must be expressed as a decimal (not as a percentage, and not in basis points). For example, if the Fee Rate is 5% (500 BP), a value of .05 must be passed. Decimal value cannot be negative, must be greater than zero, and cannot be greater than the Maximum Rate specified in the Currency table for the Facility Currency.</t>
  </si>
  <si>
    <t>Table Column Name: FEE_PCT_RATE</t>
  </si>
  <si>
    <t>minimumAmount</t>
  </si>
  <si>
    <t>Validation: Optional if Pricing Fee Category is LCF (Fee on Issuing Bank Shares) or LCI (Fee on Lender Shares); otherwise, specification of a Fee Minimum Amount is not applicable.</t>
  </si>
  <si>
    <t>Table Column Name: FEE_AMT_MINIMUM</t>
  </si>
  <si>
    <t>startDate</t>
  </si>
  <si>
    <t>Validation: The effective date of the new Rate.</t>
  </si>
  <si>
    <t>Validation: Cannot delete if there is a release fee for this category or for SBLC’s if there are active SBLC or inactive SBLC’s where Re-accrue during as of processing is checked.</t>
  </si>
  <si>
    <t>actualExpiryDate</t>
  </si>
  <si>
    <t xml:space="preserve">Validation: Any date that is greater than or equal to the Outstanding Effective Date and lesser than the Outstanding Expiry Date can be passed in this field. If the Outstanding does not have an expiry date, the date passed in this field must be lesser than the Outstanding Maturity Date. </t>
  </si>
  <si>
    <t>If no value is passed in this field through the API, this field takes the Outstanding Expiry Date as the default. If the Facility does not have an expiry date, the Facility Maturity Date is taken as the default value.</t>
  </si>
  <si>
    <t>originalExpiryDate</t>
  </si>
  <si>
    <t>Validation: Any date that is greater than or equal to the Outstanding Effective Date and lesser than the Outstanding Maturity Date can be passed in this field. If the Outstanding does not have a maturity date, the date passed in this field must be lesser than the Facility Maturity Date.</t>
  </si>
  <si>
    <t xml:space="preserve"> If no value is passed in this field through the API, this field takes the Outstanding maturity Date as the default.</t>
  </si>
  <si>
    <t>feePaidByCustomerXID</t>
  </si>
  <si>
    <t>Validation: A value can be passed in this field only if the Ongoing Fee is not released.</t>
  </si>
  <si>
    <t>feePaidByServicingGroupAlias</t>
  </si>
  <si>
    <t>Validation: A valid Servicing Group Alias for the Customer whose ID is passed in the feePaidByCustomerXID field, must be passed in this field.</t>
  </si>
  <si>
    <t>feePaidByLocationCode</t>
  </si>
  <si>
    <t>Validation: A valid Location code for the Customer whose ID is passed in the feePaidByCustomerXID field, must be passed in this field.</t>
  </si>
  <si>
    <t>feePaidByProfileType</t>
  </si>
  <si>
    <t>Validation: Any active value from the Profile Type code table can be passed in this field. A value for this field is required if more than one Profile of the customer whose ID is passed in the feePaidByCustomerXID field has the same Servicing Group Alias, for the same Location.</t>
  </si>
  <si>
    <t>useDistributionList</t>
  </si>
  <si>
    <t>Validation: If a value of ‘Y’ is passed in this field, a Distribution List must be maintained for the Outstanding Ongoing Fee. If a value of ‘N’ is passed in this field, a Distribution List need not be maintained for the Ongoing Fee.</t>
  </si>
  <si>
    <t>Validation:
·       If no Effective Date is passed in and Facility is active; Effective date defaults to Facility Effective Date.
·       If no Effective Date is passed in and Facility is pending; Effective date defaults to "Nil"</t>
  </si>
  <si>
    <t>If no Effective Date is passed in and Facility is active; Effective date defaults to Facility Effective Date.</t>
  </si>
  <si>
    <t>cycleFrequency</t>
  </si>
  <si>
    <t>Validation: May be any active value from the Frequency code table.</t>
  </si>
  <si>
    <t>codeTable: Accrual Period</t>
  </si>
  <si>
    <t>accrualEndDate</t>
  </si>
  <si>
    <t>Validation: End date must be later than or equal to the effective date. 
Defaults to the day before the Actual Due Date (because "Accrue to/thru" defaults to "Accrue to the Actual Due Date").
Can be modified, but the new end date must be less than Actual Due Date plus Cycle Period. (Otherwise, construction of the next cycle by the batch will encounter problems.)
Note: Changes when "Accrue to/thru" changes.</t>
  </si>
  <si>
    <t>Defaults to the day before the Actual Due Date</t>
  </si>
  <si>
    <t>Validation: 
•	For Accruing Admin Fees: Calculated by adding the chosen “Cycle Frequency” to the Current Cycle Start Date, after considering the “EOM” indicator.
•	For Amortizing Admin Fees: Calculated equal to the Current Cycle Start Date. Actual Due Date on an active amortizing fee is protected, since it must always be equal to the Fee Effective Date.</t>
  </si>
  <si>
    <t>actualDueDateRule</t>
  </si>
  <si>
    <t>Validation:
•	If actualDueDate is 31 - EOM 
•	If actualDueDate is 30 - EOM or 30
•	If actualDueDate is 29 - EOM, 30 or 29
•	If actualDueDate is Feb 28 - EOM, 30, 29.</t>
  </si>
  <si>
    <t>codeTable: Actual Due Date Rule</t>
  </si>
  <si>
    <t>Validation: Adjusted due date must be:
•	Later than or equal to the effective date.
•	Later than or equal to the current cycle start date.</t>
  </si>
  <si>
    <t>Validation: Must be a numeric value from 1 to 31.</t>
  </si>
  <si>
    <t>accrue</t>
  </si>
  <si>
    <t>Validation: Defaults to "Accrue to the Actual Due Date” (an option that is always available, whether fee is paid in advance or is paid in arrears), and may be changed.
Valid values when fee is paid in arrears:
•	to the adjusted due date (default)
•	thru the adjusted due date
•	to the actual due date
•	thru the actual due date
Valid values when fee is paid in advance:
•	To the actual due date (default)
•	Thru the actual due date.</t>
  </si>
  <si>
    <t>Defaults to "Accrue to the Actual Due Date”</t>
  </si>
  <si>
    <t>codeTable: Accrual End Date Rule</t>
  </si>
  <si>
    <t>accruePastExpiryDate</t>
  </si>
  <si>
    <t>Validation:
•	When Checked allows fees to accrue indefinitely.
•	When Unchecked stops fee accrual when the Fee Expiry Date is reached.</t>
  </si>
  <si>
    <t>floatRateStartDate</t>
  </si>
  <si>
    <t>Validation: Cannot be earlier the Fee Effective Date but may be a future date. Defaults to Fee Effective Date when fee is released. Governs user’s ability to manually change the Rate History for this Ongoing Fee. (All Rate History changes must occur before the Float Rate Start Date.)</t>
  </si>
  <si>
    <t>Defaults to Fee Effective Date when fee is released</t>
  </si>
  <si>
    <t>Validation: Defaults to the value set for the Past Due Grace Days field in the Facility Notebook.</t>
  </si>
  <si>
    <t>payInArrears</t>
  </si>
  <si>
    <t>Validation: If Yes, then the payInAdvance indicator must be set to No.</t>
  </si>
  <si>
    <t>payInAdvance</t>
  </si>
  <si>
    <t>Validation: If Yes, then the payInArrears indicator must be set to No.</t>
  </si>
  <si>
    <t>accrueFrom</t>
  </si>
  <si>
    <t xml:space="preserve">The interest accrual is calculated on the effective date of the Outstanding or one calendar day after the effective date depending on the value of the system parameter EPLUS (Accrual One Day After Effective Date) and the Accrue From rule selected. </t>
  </si>
  <si>
    <t>Validation: Defaults to a value of Effective Date.</t>
  </si>
  <si>
    <t>codeTable: Accrual Start Date Rule</t>
  </si>
  <si>
    <t>borrowerObjectIdentifier</t>
  </si>
  <si>
    <t>•	If neither a borrowerExternalID / Borrower RID nor a sublimitName is included, the ongoing fee pricing will be created or updated as owned by the Facility.
•	If only a borrowerExternalID / Borrower RID is included, the ongoing fee pricing will be created or updated as owned by that borrower.
•	If both a borrowerExternalID / Borrower RID and a sublimitName are included, it will be an error if that sublimit is not associated with that borrower. If the combination is valid, the ongoing fee pricing will be created or updated as owned by that borrower sublimit.
•	If only a sublimitName is included, the ongoing fee pricing will be created or updated as owned by that sublimit.</t>
  </si>
  <si>
    <t>Sublimits without any of the proper Risk Types are excluded from the Sublimit pick list, and once the Sublimit has been chosen, only those Risk Types within the chosen Sublimit that are of the proper type are presented for Risk Type selection</t>
  </si>
  <si>
    <t>OutstandingCategoryLimits</t>
  </si>
  <si>
    <t>limitCategoryCode</t>
  </si>
  <si>
    <t>codeTable: Project Category</t>
  </si>
  <si>
    <t>allocationAmount</t>
  </si>
  <si>
    <t>The sum of all categories’ disbursement allocation amount should be equal to the loan amount.</t>
  </si>
  <si>
    <t>ProjectCategoryDocumentation</t>
  </si>
  <si>
    <t>amount</t>
  </si>
  <si>
    <t>disbMethod</t>
  </si>
  <si>
    <t>docReference</t>
  </si>
  <si>
    <t>documentRID</t>
  </si>
  <si>
    <t>expenditureDate</t>
  </si>
  <si>
    <t>fromDate</t>
  </si>
  <si>
    <t>remarks</t>
  </si>
  <si>
    <t>statusCode</t>
  </si>
  <si>
    <t>The valid status codes are as follows: 
•	PEND – Pending
•	AWSTA –Awaiting Send To Approval
•	APPRV – Approved
•	RELSD – Released</t>
  </si>
  <si>
    <t>codeTable: Object State</t>
  </si>
  <si>
    <t>toDate</t>
  </si>
  <si>
    <t>ProjectCategoryCheckListItem</t>
  </si>
  <si>
    <t>categoryName</t>
  </si>
  <si>
    <t>itemName</t>
  </si>
  <si>
    <t>codeTable: Document Type</t>
  </si>
  <si>
    <t>verified</t>
  </si>
  <si>
    <t>Mandatory documents need to be verified in the checklist.
Valid codes are:
•	N (No)
•	Y (Yes)</t>
  </si>
  <si>
    <t>CashflowRemittanceInstruction</t>
  </si>
  <si>
    <t>messageID</t>
  </si>
  <si>
    <t>remittanceInstructionDescription</t>
  </si>
  <si>
    <t>Validation: The value passed in this field must match the Description on the Remittance Instruction Detail window for an existing approved Remittance Instruction. If the value passed in via this field is not valid for the Customer passed in this sub-element, the API fails and returns an error.</t>
  </si>
  <si>
    <t>servicingGroupAlias</t>
  </si>
  <si>
    <t>Validation: A valid Servicing Group Alias for the Customer whose ID is passed in the customerExternalId field, must be passed in this field.</t>
  </si>
  <si>
    <t>Following types are supported : legalName, shortName, externalId, id, alternateId, alias
For customerAlias:{
		"type":"",
		"value":"",
	}</t>
  </si>
  <si>
    <t>Value of the Identifier passed
Validation: The value passed in this field must match the External ID of a valid Borrower/Lender for the Outstanding. If an invalid value is passed in this field, the API fails and returns an error.</t>
  </si>
  <si>
    <t>HolidayCalendar</t>
  </si>
  <si>
    <t>code</t>
  </si>
  <si>
    <t>borrowerIntentNoticeIndicator</t>
  </si>
  <si>
    <t>Validations: When checked, system uses the selected calendar in calculating the Target Date for the Borrower Intent Notice depending the number of Intent Notice “Days in Advance” are set in Deal Pricing Rules for the loan Pricing Option. System searches for earliest valid Business Date which satisfies number of valid business days needed for each selected calendar where “Borrower Intent Notice” is checked.</t>
  </si>
  <si>
    <t>fxRateSettingIndicator</t>
  </si>
  <si>
    <t>Validations: When checked, system uses selected calendar in calculating the Target Date for the F/X Rate Setting Notice, depending on number F/X Rate Setting “Days in Advance” are set in Deal Pricing Rules for the loan Pricing Option. System searches for earliest valid Business Date which satisfies number of valid business days needed for each selected calendar where “F/X Rate Setting Notice” is checked.</t>
  </si>
  <si>
    <t>interestRateSettingNoticeIndicator</t>
  </si>
  <si>
    <t>Validations: When checked, system uses selected calendar in calculating the Target Dates for the Interest Rate Setting Notices (Setting Borrower Rate) and Treasury Review (for setting match funded Cost of Funds), depending on number of “Days to Treasury Review” set in Deal Pricing Rules for the loan’s Pricing Option. System searches for earliest valid Business Date which satisfies number of valid business days needed for each selected calendar where “Interest Rate Setting Notice” is checked.</t>
  </si>
  <si>
    <t>paymentAdviceDatesIndicator</t>
  </si>
  <si>
    <t>Validations: If checked, calendar is used to determine Target Date for releasing cashflows with payment methods “Swift” and “Telex”, based on “Number of PA Dates” set for an Outstanding’s currency on the Currency Details Screen in the Facility Notebook.</t>
  </si>
  <si>
    <t>billingIndicator</t>
  </si>
  <si>
    <t>Validations: If checked, calendar is used to calculate the correct number of Billing Days, based on “Billing Number of Days” set on the Pricing Rules tab for the selected pricing option.</t>
  </si>
  <si>
    <t>effectiveDateIndicator</t>
  </si>
  <si>
    <t>Validations: When checked, system uses selected calendar in validating the Effective Date for the Outstanding, depending on non-business days and holidays for the selected calendar. If non-business date is chosen, system issues a Warning (on Save, Approval and Release), which includes all calendars where the date chosen is a non-business date.</t>
  </si>
  <si>
    <t>OutstandingABLCollateralType</t>
  </si>
  <si>
    <t>collateralAccountId</t>
  </si>
  <si>
    <t>remittanceId</t>
  </si>
  <si>
    <t>MISCode</t>
  </si>
  <si>
    <t>Validation: MIS Type passed by the API must match an active MIS Type set up on Loan IQ as ‘Allowed for Loans’.</t>
  </si>
  <si>
    <t>codeTable: MIS Type</t>
  </si>
  <si>
    <t>value</t>
  </si>
  <si>
    <t>Validation: Conditional. Free-form MIS Value is required if the MIS Type is flagged is considered user enterable. User enterable means that values do not exist in the MIS Code Table for that MIS Type. It is NOT controlled by the user enterable value on the MIS Type Table.
If the ‘amount’ indicator on the MIS Type Table entry is ‘Y’ (true), then only a numeric value may be passed to the API as the free-form value for this MIS Code.</t>
  </si>
  <si>
    <t>valueType</t>
  </si>
  <si>
    <t>Validation: Required if the MIS Type is flagged as “not user-enterable.” Must match an active entry in the MIS Code Table that is associated with the indicated MIS Type.</t>
  </si>
  <si>
    <t>codeTable: MIS Code</t>
  </si>
  <si>
    <t>OutstandingPreferredRemittanceInstruction</t>
  </si>
  <si>
    <t>Following types are supported : legalName, shortName, externalId, id, alternateId, alias
For customerAlias:{
		"type":"",
		"value":"",
	}
 Validation: The Customer ID that uniquely identifies the Customer. An active Lender or borrower Profile must be in existence, and it must have at least one completed location. The Location and Servicing Group default to the only available choices, if possible. The system defaults the Servicing Group to the active choice that has been flagged as the standard Servicing Group for that lender location if more than one exists. If more than one choice for the Location and/or Servicing Group exists, the client can supply this information via the Deal</t>
  </si>
  <si>
    <r>
      <t xml:space="preserve">Validation: </t>
    </r>
    <r>
      <rPr>
        <sz val="10"/>
        <color rgb="FF414141"/>
        <rFont val="Roboto"/>
      </rPr>
      <t>The value passed in this field must match the Description on the Remittance Instruction Detail window for an existing approved Remittance Instruction. If the value passed in via this field is not valid for the Customer passed in this sub-element, the API fails and returns an error.</t>
    </r>
  </si>
  <si>
    <r>
      <t>Validation:</t>
    </r>
    <r>
      <rPr>
        <sz val="10"/>
        <color rgb="FF414141"/>
        <rFont val="Roboto"/>
      </rPr>
      <t xml:space="preserve"> A valid Location code for the Customer whose ID is passed in the </t>
    </r>
    <r>
      <rPr>
        <i/>
        <sz val="10"/>
        <color rgb="FF414141"/>
        <rFont val="Roboto"/>
      </rPr>
      <t>customerExternalId</t>
    </r>
    <r>
      <rPr>
        <sz val="10"/>
        <color rgb="FF414141"/>
        <rFont val="Roboto"/>
      </rPr>
      <t xml:space="preserve"> field, must be passed in this field.</t>
    </r>
  </si>
  <si>
    <r>
      <t>Validation:</t>
    </r>
    <r>
      <rPr>
        <sz val="10"/>
        <color rgb="FF414141"/>
        <rFont val="Roboto"/>
      </rPr>
      <t xml:space="preserve"> A valid Servicing Group Alias for the Customer whose ID is passed in the </t>
    </r>
    <r>
      <rPr>
        <i/>
        <sz val="10"/>
        <color rgb="FF414141"/>
        <rFont val="Roboto"/>
      </rPr>
      <t>customerExternalId</t>
    </r>
    <r>
      <rPr>
        <sz val="10"/>
        <color rgb="FF414141"/>
        <rFont val="Roboto"/>
      </rPr>
      <t xml:space="preserve"> field, must be passed in this field.</t>
    </r>
  </si>
  <si>
    <t>FxRevaluationSchedule</t>
  </si>
  <si>
    <t>actualNextOccurrenceDate</t>
  </si>
  <si>
    <t>eomRuleCode</t>
  </si>
  <si>
    <t>frequency</t>
  </si>
  <si>
    <t>codeTable: Base Rate Frequency</t>
  </si>
  <si>
    <t>nonBusinessDayRule</t>
  </si>
  <si>
    <t>codeTable: Non Business Day</t>
  </si>
  <si>
    <t>SpreadAdjustmentComponentOverride</t>
  </si>
  <si>
    <t>componentRate</t>
  </si>
  <si>
    <t>A new attribute for Spread Component Rate (Spread Matrix) is introduced to allow users to enter a Spread Component Rate for a specific Spread Component through Loan IQ API.
Spread Matrix Component rate. This rate will be defaulted from Spread Matrix Rate in Treasury however user has the option to override and input the new rate.</t>
  </si>
  <si>
    <t>spreadComponentCode</t>
  </si>
  <si>
    <t>A new attribute for Spread Component Code (Spread Matrix) is introduced to allow users to enter a Spread Component Code for a specific Spread Component through Loan IQ API.
If user wants to override the Spread Matrix Rate for specific component which is defaulted from Spread Matrix Rate in Treasury, then user need to input the Spread Component Code.</t>
  </si>
  <si>
    <t>spreadMatrixId</t>
  </si>
  <si>
    <t>A new attribute for Spread Matrix ID (Spread Matrix) is introduced to allow users to enter a Spread Matrix ID for a specific Spread Matrix code through Loan IQ API.
spreadMatrixId is RID of Spread Matrix Details rate screen in Treasury. This is unique number need to pass in the API to Update the Spread Adjustment Component rate.</t>
  </si>
  <si>
    <t>spreadRateCode</t>
  </si>
  <si>
    <t>Either spreadMatrixId or composite Key(spreadRateCode, currency, funding Desk, tenor) should be used as Identifier to update the Spread matrix component rate</t>
  </si>
  <si>
    <t>fundingDesk</t>
  </si>
  <si>
    <t>tenor</t>
  </si>
  <si>
    <t>OUTPUT</t>
  </si>
  <si>
    <t>Required (Y/N)</t>
  </si>
  <si>
    <t>Multiple Values allowed (Y/N)</t>
  </si>
  <si>
    <t>Questions?</t>
  </si>
  <si>
    <t xml:space="preserve">Attribute Existing in SOAP API  (Y/N) </t>
  </si>
  <si>
    <t>OutstandingTransactionAsReturnValue</t>
  </si>
  <si>
    <t>Success</t>
  </si>
  <si>
    <t>success = ‘true’/'false'</t>
  </si>
  <si>
    <t>Message</t>
  </si>
  <si>
    <t>(List of) output message
API_Name&gt;&gt;Message
May be a tag / separate category for Error and Warning
Error Messages and Warnings should be called out separately in a different tag.</t>
  </si>
  <si>
    <t>loanId</t>
  </si>
  <si>
    <t>The unique identifier for the outstanding.</t>
  </si>
  <si>
    <t>loanTransactionId</t>
  </si>
  <si>
    <t>Unique ID of the Loan Transaction processed</t>
  </si>
  <si>
    <t>updateTimeStamp</t>
  </si>
  <si>
    <t>Date/Time</t>
  </si>
  <si>
    <t>Timestamp of action processed in Loan IQ</t>
  </si>
  <si>
    <t>If the system parameter DRAFE is enabled, a message is shown in output that the documents required for funding have not been received and "Override Documents Required at Funding Error" workflow must be completed.</t>
  </si>
  <si>
    <t>Late charge Billing Statement Rules to be covered separately</t>
  </si>
  <si>
    <t>Back to Index</t>
  </si>
  <si>
    <t>Other Considerations</t>
  </si>
  <si>
    <t>•	Functional validations are only performed if field-level validations are successful.
•	For the same reason, sub-elements are (recursively) validated before their parent function call.
•	All field-level errors are raised simultaneously, including sub-elements (recursively).
•	All functional errors are raised simultaneously, including sub-elements (recursively).
•	Only one error is raised per field (for example. the size validation may fail if the type is not correct)
All values passed to the  API by the Client Interface program to be saved on the Loan IQ database must pass all validation tests that would be enforced if the data were entered on-line</t>
  </si>
  <si>
    <t>"Behavior to be finalized post discussions with dev team"</t>
  </si>
  <si>
    <t>UpdateLoanDrawdown:
Using this All updated information can be passed for any pending loan drawdown transaction provided that the data attribute can be updated online.</t>
  </si>
  <si>
    <t>Deal Level</t>
  </si>
  <si>
    <t>should be closed state</t>
  </si>
  <si>
    <t>Facility Level</t>
  </si>
  <si>
    <t>Facility should have below defined:
•	Facility Risk Type(s)
•	Facility Loan Purpose(s)
•	Facility MIS Codes
•	Facility Fee Pricing item(s)
•	Facility Interest Pricing item(s)
•	Facility Control Number (FCN)</t>
  </si>
  <si>
    <t>Loan Level</t>
  </si>
  <si>
    <t>Below must be identified:
•	Requested Amount
•	Loan Effective Date
•	Facility Control Number (FCN) – identifies both the Deal and Facility
•	Pricing Option
•	Risk Type 
•	External Customer ID (identifies the Borrower)
•	Currency
•	Repricing Frequency</t>
  </si>
  <si>
    <t>Loan must be in Pending, Awaiting Send to Approval, or Awaiting Approval status.</t>
  </si>
  <si>
    <t>Fields that cannot be updated in Loan IQ ONLINE should not be updatable via the API as well.</t>
  </si>
  <si>
    <t>Updatable (Y/N)?</t>
  </si>
  <si>
    <t>Under Scope 7.7.0.0</t>
  </si>
  <si>
    <t>outstandingTransactionIdentifier</t>
  </si>
  <si>
    <r>
      <t xml:space="preserve">Following type should be supported : </t>
    </r>
    <r>
      <rPr>
        <b/>
        <sz val="11"/>
        <rFont val="Calibri"/>
        <family val="2"/>
        <scheme val="minor"/>
      </rPr>
      <t>transactionId</t>
    </r>
  </si>
  <si>
    <t xml:space="preserve">Value of the identifier mentioned in the type. List of RID's Matching the specified criteria.RID uniquely identifies the transaction to be updated. 
</t>
  </si>
  <si>
    <t>Original Outstanding Alias
This is an information only field and will be ignored in the Inputs here.
Following type should be supported : alias &amp; id</t>
  </si>
  <si>
    <t xml:space="preserve">Value of the identifier mentioned in the type. </t>
  </si>
  <si>
    <t>Transaction Description</t>
  </si>
  <si>
    <t>The description of the transaction.</t>
  </si>
  <si>
    <t>It cannot be prior to Facility Effective Date and must be less than Repricing Date and Loan Maturity Date, if any. 
Note: Future value dated transactions are allowed.</t>
  </si>
  <si>
    <r>
      <t>Validation</t>
    </r>
    <r>
      <rPr>
        <sz val="9"/>
        <color rgb="FF414141"/>
        <rFont val="Roboto"/>
      </rPr>
      <t>: Must match the Facility currency or one of the “allowable currencies” defined in the Facility.</t>
    </r>
  </si>
  <si>
    <t>codeTable: Currency</t>
  </si>
  <si>
    <t>The Note Date is the effective date of the original mortgage.</t>
  </si>
  <si>
    <t>-Any of these can be passed as inputs
Following types should be supported : controlNumber,CUSIP, ISIN, id</t>
  </si>
  <si>
    <t>When Outstanding Currency is different from Facility Currency, FX Rate is defined.</t>
  </si>
  <si>
    <t>List</t>
  </si>
  <si>
    <t>If Match Funded Indicator differs from the default specified by the pricing option and is specified as not overrideable by the pricing option, an error ‘Pricing option does not allow Match Funded Indicator to be overridden’ is returned.</t>
  </si>
  <si>
    <r>
      <t>Validation</t>
    </r>
    <r>
      <rPr>
        <sz val="9"/>
        <color rgb="FF414141"/>
        <rFont val="Roboto"/>
      </rPr>
      <t>: Must match one of the interest pricing options defined in the Deal.</t>
    </r>
  </si>
  <si>
    <t xml:space="preserve"> Must match one of the Facility Purpose Codes.</t>
  </si>
  <si>
    <t>Must match one of the active values in the Risk Type table.</t>
  </si>
  <si>
    <t>codeTable: Risk Type</t>
  </si>
  <si>
    <r>
      <t>Validation</t>
    </r>
    <r>
      <rPr>
        <sz val="9"/>
        <color rgb="FF414141"/>
        <rFont val="Roboto"/>
      </rPr>
      <t>: Must match one of the active values in the Accrual Period Table that is valid for the selected Base Rate.</t>
    </r>
  </si>
  <si>
    <r>
      <t>Validation:</t>
    </r>
    <r>
      <rPr>
        <sz val="9"/>
        <color rgb="FF414141"/>
        <rFont val="Roboto"/>
      </rPr>
      <t xml:space="preserve"> Must Match an active value in actual due date rule.</t>
    </r>
  </si>
  <si>
    <r>
      <t xml:space="preserve">Validation: </t>
    </r>
    <r>
      <rPr>
        <sz val="9"/>
        <color rgb="FF414141"/>
        <rFont val="Roboto"/>
      </rPr>
      <t>Must Match an active value in Accrual End Date Rule table.</t>
    </r>
  </si>
  <si>
    <r>
      <t xml:space="preserve">Validation: </t>
    </r>
    <r>
      <rPr>
        <sz val="9"/>
        <color rgb="FF414141"/>
        <rFont val="Roboto"/>
      </rPr>
      <t>If no value is passed, defaults to the effective date of the loan. May pass any value.</t>
    </r>
  </si>
  <si>
    <r>
      <t xml:space="preserve">Validation: </t>
    </r>
    <r>
      <rPr>
        <sz val="9"/>
        <color rgb="FF414141"/>
        <rFont val="Roboto"/>
      </rPr>
      <t>Must Match an active value in the Rate Basis Table.</t>
    </r>
  </si>
  <si>
    <r>
      <t xml:space="preserve">Validation: </t>
    </r>
    <r>
      <rPr>
        <sz val="9"/>
        <color rgb="FF414141"/>
        <rFont val="Roboto"/>
      </rPr>
      <t xml:space="preserve">Required for approval if pricing option indicates </t>
    </r>
    <r>
      <rPr>
        <i/>
        <sz val="9"/>
        <color rgb="FF414141"/>
        <rFont val="Roboto"/>
      </rPr>
      <t>Maturity Date is Required</t>
    </r>
    <r>
      <rPr>
        <sz val="9"/>
        <color rgb="FF414141"/>
        <rFont val="Roboto"/>
      </rPr>
      <t xml:space="preserve">. Needed if user wishes to define a Loan Repayment Schedule manually. If </t>
    </r>
    <r>
      <rPr>
        <i/>
        <sz val="9"/>
        <color rgb="FF414141"/>
        <rFont val="Roboto"/>
      </rPr>
      <t>Repricing Date Applies</t>
    </r>
    <r>
      <rPr>
        <sz val="9"/>
        <color rgb="FF414141"/>
        <rFont val="Roboto"/>
      </rPr>
      <t>, cannot be less than the Repricing Date.</t>
    </r>
  </si>
  <si>
    <r>
      <t xml:space="preserve">Validation: </t>
    </r>
    <r>
      <rPr>
        <sz val="9"/>
        <color rgb="FF414141"/>
        <rFont val="Roboto"/>
      </rPr>
      <t>Must match an active value in the Rate Basis Table.</t>
    </r>
  </si>
  <si>
    <r>
      <t xml:space="preserve">Validation: </t>
    </r>
    <r>
      <rPr>
        <sz val="9"/>
        <color rgb="FF414141"/>
        <rFont val="Roboto"/>
      </rPr>
      <t>Must be greater than Loan Effective Date and cannot be greater than Loan Maturity Date.</t>
    </r>
  </si>
  <si>
    <r>
      <t xml:space="preserve">Validation: </t>
    </r>
    <r>
      <rPr>
        <sz val="9"/>
        <color rgb="FF414141"/>
        <rFont val="Roboto"/>
      </rPr>
      <t>Must match one of the active values in the Base Rate Frequency Table that is valid for the selected Pricing Option.</t>
    </r>
  </si>
  <si>
    <t>Validations:
Scenario 1: If this indicator is not passed in through the Update Loan Initial Drawdown call, the current functionality of the API call is unchanged.
Scenario 2: If this indicator is passed in through either the Create or Update function call the repayment schedule in the Loan Initial Drawdown is populated as per the current online behavior according to the Auto Reduce Facility functionality. 
However, the system returns an error if this indicator is passed in when the Loan Initial Drawdown is not created successfully or, in the absence of attributes /conditions required for creating a Repayment Schedule in line with the Auto Reduce Facility functionality.
If this indicator is already enabled and the Update call disables it the current online functionality is applicable.</t>
  </si>
  <si>
    <r>
      <t>Valid values</t>
    </r>
    <r>
      <rPr>
        <sz val="9"/>
        <color rgb="FF414141"/>
        <rFont val="Roboto"/>
      </rPr>
      <t>: DEA, FAC, BOR, NONE, OST.</t>
    </r>
  </si>
  <si>
    <t>Code Table: Consolidation Type</t>
  </si>
  <si>
    <t>Validations: The following validations are applicable when the Bill Care-of Contact indicator is updated via the UpdateDrawdown API via the Billing/Late Charge Rules button:
·         The indicator can be checked with appropriate validations.
·         When a valid Care of Contact does not exist in the Borrower Servicing Group, then a hard error occurs.
·         The indicator can be removed without any validation.</t>
  </si>
  <si>
    <t>Validations:
·         If the pledge code sent is not present in the ‘Pledge Codes’ code table – the API will raise an error for invalid pledge code.
·         If pledge code is not passed or is empty, the API will skip the validation and proceed.</t>
  </si>
  <si>
    <r>
      <t>Validation</t>
    </r>
    <r>
      <rPr>
        <sz val="9"/>
        <color rgb="FF414141"/>
        <rFont val="Roboto"/>
      </rPr>
      <t>: The Use Interest Schedule To Derive Repricing Dates functionality is applicable only for loans with Flex Schedules, where the interest payment schedules have irregular payment dates.</t>
    </r>
  </si>
  <si>
    <r>
      <t>Validation</t>
    </r>
    <r>
      <rPr>
        <sz val="9"/>
        <color rgb="FF414141"/>
        <rFont val="Roboto"/>
      </rPr>
      <t xml:space="preserve">: If not specified, Loan IQ will use the rate associated with the Repricing Frequency for calculation. </t>
    </r>
  </si>
  <si>
    <t>Non Functional requirement, SYSTEM Derived and non-user updatable</t>
  </si>
  <si>
    <t>Validation: The value passed in this field must match the Sublimit Name of a valid sublimit defined for the Borrower, Risk Type and Outstanding Type at the Facility level. If the value passed in via this field does not meet the above criteria, the API fails and returns an error.
Note: The Sublimit can be selected at the Outstanding level if the Outstanding currency matches any of the currencies defined in the list of currencies within the Sublimit (even if a single currency appears in the list) or the facility currency.
The Sublimit cannot be selected at the Outstanding level if the currency of the Outstanding is not specified in the list of currencies for a particular Sublimit.
      Sublimit can be selected at the Outstanding level for the facility currency.</t>
  </si>
  <si>
    <t xml:space="preserve">  </t>
  </si>
  <si>
    <t>Validation: Any date that is greater than or equal to the Outstanding Effective Date and lesser than the Outstanding Expiry Date can be passed in this field. If the Outstanding does not have an expiry date, the date passed in this field must be lesser than the Outstanding Maturity Date. If no value is passed in this field through the API, this field takes the Outstanding Expiry Date as the default. If the Facility does not have an expiry date, the Facility Maturity Date is taken as the default value.</t>
  </si>
  <si>
    <t>Validation: Any date that is greater than or equal to the Outstanding Effective Date and lesser than the Outstanding Maturity Date can be passed in this field. If the Outstanding does not have a maturity date, the date passed in this field must be lesser than the Facility Maturity Date. If no value is passed in this field through the API, this field takes the Outstanding maturity Date as the default.</t>
  </si>
  <si>
    <t>The interest accrual is calculated on the effective date of the Outstanding or one calendar day after the effective date depending on the value of the system parameter EPLUS (Accrual One Day After Effective Date) and the Accrue From rule selected. 
Validation: Defaults to a value of Effective Date.</t>
  </si>
  <si>
    <t>•	If neither a borrowerExternalId nor a sublimitName is included, the ongoing fee pricing will be created or updated as owned by the Facility.
•	If only a borrowerExternalId is included, the ongoing fee pricing will be created or updated as owned by that borrower.
•	If both a borrowerExternalId and a sublimitName are included, it will be an error if that sublimit is not associated with that borrower. If the combination is valid, the ongoing fee pricing will be created or updated as owned by that borrower sublimit.
•	If only a sublimitName is included, the ongoing fee pricing will be created or updated as owned by that sublimit.</t>
  </si>
  <si>
    <t>Validation: Must match a valid value in the Base Rate table that is valid for the indicated Pricing Option (as per the Option Name and Base Rate Association table. User will be allowed to update this attribute when Outstanding transaction in “Pending/ Awaiting send to Approval/ Awaiting send to rate approval” status. When Base rate is set through PUT call, “Rate setting” workflow will get processed automatically in workflow.</t>
  </si>
  <si>
    <r>
      <t>Value of the Identifier passed
Validation:</t>
    </r>
    <r>
      <rPr>
        <sz val="10"/>
        <color rgb="FF414141"/>
        <rFont val="Roboto"/>
      </rPr>
      <t xml:space="preserve"> The value passed in this field must match the External ID of a valid Borrower/Lender for the Outstanding. If an invalid value is passed in this field, the API fails and returns an error.</t>
    </r>
  </si>
  <si>
    <t>True/False</t>
  </si>
  <si>
    <t>Unique ID of the Loan Transaction processed
Changed name "Transaction RID" to loanTransactionId</t>
  </si>
  <si>
    <t>GetloanTransactionId</t>
  </si>
  <si>
    <t>Input</t>
  </si>
  <si>
    <t>Following type should be supported : transactionId</t>
  </si>
  <si>
    <t>Exact matching values expected, RID must be entered. Value of the Identifier mentioned in the type.</t>
  </si>
  <si>
    <t>Under scope 7.7.0.0</t>
  </si>
  <si>
    <t>success</t>
  </si>
  <si>
    <t>Messages</t>
  </si>
  <si>
    <r>
      <t>API_Name&gt;&gt;</t>
    </r>
    <r>
      <rPr>
        <i/>
        <sz val="11"/>
        <color theme="1"/>
        <rFont val="Calibri"/>
        <family val="2"/>
        <scheme val="minor"/>
      </rPr>
      <t>Message</t>
    </r>
    <r>
      <rPr>
        <sz val="11"/>
        <color theme="1"/>
        <rFont val="Calibri"/>
        <family val="2"/>
        <scheme val="minor"/>
      </rPr>
      <t xml:space="preserve">
All pertinant warnings and Errors shown in Loan IQ must be shown</t>
    </r>
  </si>
  <si>
    <t>Value of the Identifier mentioned in the type.</t>
  </si>
  <si>
    <t>Only Id should be supported</t>
  </si>
  <si>
    <t>Value of the Id</t>
  </si>
  <si>
    <t>Use Facility Currency F/X Rate Indicator Sets the F/X Rate to the displayed Facility F/X Rate, which flows down from the Facility Notebook. Validation: Must be N if an F/X Rate is entered OR the useSpotCcyFxRate indicator is set to Y. Available in Release 7.3.1.19 HF33, if the value of the useFacilityCcyFxRate attribute is blank for Comprehensive Loan Repricing (CLR) with the Pending and Awaiting Send to Approval status, then the Loan IQ does not validate the mandatory condition for setting the Fx details and the ‘SetFxRate’ workflow item is displayed. The same behavior holds good for loans, SBLC and discount loans where fxRate is applicable.</t>
  </si>
  <si>
    <t>Use Spot Currency F/X Rate Indicator Sets the F/X Rate to the displayed Spot F/X Rate. Validation: Must be N if an F/X Rate is entered OR the useFacilityCcyFxRate indicator is set to Y. Available in Release 7.3.1.19 HF33, if the value of the useSpotCcyFxRate attribute is blank Comprehensive Loan Repricing (CLR) with the Pending and Awaiting Send to Approval status, then the Loan IQ does not validate the mandatory condition for setting the Fx details and the ‘SetFxRate’ workflow item is displayed. The same behavior holds good for loans, SBLC and discount loans where fxRate is applicable</t>
  </si>
  <si>
    <t>StatusCode</t>
  </si>
  <si>
    <t>Current status of the transaction</t>
  </si>
  <si>
    <t>"Non Functional requirement, SYSTEM Derived and non-user updatable"</t>
  </si>
  <si>
    <t xml:space="preserve">CancelLoanTransaction: A cancel call simply cancels a transaction </t>
  </si>
  <si>
    <t>If the current status of the transaction must be ‘Pending, ‘Awaiting Send to Approval’, ‘Awaiting Approval’, or Awaiting Release</t>
  </si>
  <si>
    <r>
      <t>Validation</t>
    </r>
    <r>
      <rPr>
        <sz val="9"/>
        <color rgb="FF414141"/>
        <rFont val="Roboto"/>
      </rPr>
      <t>: Identifies an existing loan.</t>
    </r>
    <r>
      <rPr>
        <sz val="11"/>
        <color theme="1"/>
        <rFont val="Calibri"/>
        <family val="2"/>
        <scheme val="minor"/>
      </rPr>
      <t xml:space="preserve"> Value of the Identifier mentioned in the type.</t>
    </r>
  </si>
  <si>
    <t>(List of) output message</t>
  </si>
  <si>
    <t>DeleteLoanDrawdown: To delete Loan type of initial drawdowns where notices are not generated. When this API is run, it deletes all loan drawdowns that are in Pending status.</t>
  </si>
  <si>
    <r>
      <rPr>
        <sz val="7"/>
        <rFont val="Times New Roman"/>
        <family val="1"/>
      </rPr>
      <t xml:space="preserve"> </t>
    </r>
    <r>
      <rPr>
        <sz val="10"/>
        <rFont val="Roboto"/>
      </rPr>
      <t>Pending Loan initial drawdowns prior to approval status can be deleted.</t>
    </r>
  </si>
  <si>
    <r>
      <rPr>
        <sz val="7"/>
        <color rgb="FF414141"/>
        <rFont val="Times New Roman"/>
        <family val="1"/>
      </rPr>
      <t xml:space="preserve"> </t>
    </r>
    <r>
      <rPr>
        <sz val="10"/>
        <color rgb="FF414141"/>
        <rFont val="Roboto"/>
      </rPr>
      <t xml:space="preserve">Initial drawdowns associated to an active notice group cannot be deleted. </t>
    </r>
  </si>
  <si>
    <r>
      <rPr>
        <sz val="7"/>
        <color rgb="FF414141"/>
        <rFont val="Times New Roman"/>
        <family val="1"/>
      </rPr>
      <t xml:space="preserve"> </t>
    </r>
    <r>
      <rPr>
        <sz val="10"/>
        <color rgb="FF414141"/>
        <rFont val="Roboto"/>
      </rPr>
      <t xml:space="preserve">Loans that contain Cost of Funds (COF) cannot be deleted. </t>
    </r>
  </si>
  <si>
    <r>
      <rPr>
        <sz val="7"/>
        <color rgb="FF414141"/>
        <rFont val="Times New Roman"/>
        <family val="1"/>
      </rPr>
      <t xml:space="preserve"> </t>
    </r>
    <r>
      <rPr>
        <sz val="10"/>
        <color rgb="FF414141"/>
        <rFont val="Roboto"/>
      </rPr>
      <t xml:space="preserve">Loans that have active locks on it cannot be deleted. </t>
    </r>
  </si>
  <si>
    <t>DeleteTimeStamp</t>
  </si>
  <si>
    <t>Timestamp immediately after the delete operation is performed.</t>
  </si>
  <si>
    <r>
      <t xml:space="preserve">EnquireLoanInitialDrawdown </t>
    </r>
    <r>
      <rPr>
        <sz val="14"/>
        <color theme="1"/>
        <rFont val="Calibri"/>
        <family val="2"/>
        <scheme val="minor"/>
      </rPr>
      <t>: All the Loan Drawdowns meeting any of the below specfied search criteria.</t>
    </r>
    <r>
      <rPr>
        <b/>
        <sz val="14"/>
        <color theme="1"/>
        <rFont val="Calibri"/>
        <family val="2"/>
        <scheme val="minor"/>
      </rPr>
      <t xml:space="preserve"> </t>
    </r>
  </si>
  <si>
    <t xml:space="preserve">Attribute Existing in ONLINE  (Y/N) </t>
  </si>
  <si>
    <t>dealName</t>
  </si>
  <si>
    <t>Contains</t>
  </si>
  <si>
    <t>facilityName</t>
  </si>
  <si>
    <t>loanAttributes</t>
  </si>
  <si>
    <t>loanAlias</t>
  </si>
  <si>
    <t>Exact matching values expected, RID must be entered</t>
  </si>
  <si>
    <t>loanMaturityDateRangeFrom</t>
  </si>
  <si>
    <t>&lt;,&gt;,=, Loan maturity date range. Both dates should be inclusive.</t>
  </si>
  <si>
    <t>loanMaturityDateRangeTo</t>
  </si>
  <si>
    <t>loanInitialDrawdownAttributes</t>
  </si>
  <si>
    <r>
      <rPr>
        <sz val="11"/>
        <color rgb="FF000000"/>
        <rFont val="Calibri"/>
        <family val="2"/>
      </rPr>
      <t>Exact matching values expected, RID must be entered.</t>
    </r>
    <r>
      <rPr>
        <sz val="11"/>
        <color rgb="FFFF0000"/>
        <rFont val="Calibri"/>
        <family val="2"/>
      </rPr>
      <t xml:space="preserve"> </t>
    </r>
    <r>
      <rPr>
        <sz val="11"/>
        <color rgb="FF000000"/>
        <rFont val="Calibri"/>
        <family val="2"/>
      </rPr>
      <t>It's a drawdown Id for loanIntialDrawdown</t>
    </r>
  </si>
  <si>
    <t>requestedCurrency</t>
  </si>
  <si>
    <t>List, Multi-select, The requested Currency Code  of the outstanding transaction.</t>
  </si>
  <si>
    <t>Currency</t>
  </si>
  <si>
    <t xml:space="preserve">minimumRequestedAmount </t>
  </si>
  <si>
    <t xml:space="preserve">Numeric </t>
  </si>
  <si>
    <t>&lt;,&gt;,=, This the Requested Amount for the InitialDrawdown</t>
  </si>
  <si>
    <t xml:space="preserve">maximumRequestedAmount </t>
  </si>
  <si>
    <t>loanCreationDateRangeFrom</t>
  </si>
  <si>
    <t>&lt;,&gt;,=, Insc Loan InitialDrawdown Creation Date Range when InitialDrawdown is created</t>
  </si>
  <si>
    <t>loanCreationDateRangeTo</t>
  </si>
  <si>
    <t>effectiveDateRangeFrom</t>
  </si>
  <si>
    <t>&lt;,&gt;,=, Loan InitialDrawdown Effective Date Range</t>
  </si>
  <si>
    <t>effectiveDateRangeTo</t>
  </si>
  <si>
    <t>List, Multi-select, Code needs to be selected from Source system and passed as input</t>
  </si>
  <si>
    <t>Object State</t>
  </si>
  <si>
    <t>transactionDescription</t>
  </si>
  <si>
    <t>User can pass values for all or any of the above fields. API should return the Output details for the Loans meeting the above specfied search criteria.</t>
  </si>
  <si>
    <t>Deal Name</t>
  </si>
  <si>
    <t>Facility name</t>
  </si>
  <si>
    <t>borrowerName</t>
  </si>
  <si>
    <t>Borrower name</t>
  </si>
  <si>
    <t>loanDetails</t>
  </si>
  <si>
    <t>Original Outstanding Alias</t>
  </si>
  <si>
    <t>List of RID's Matching the specified criteria</t>
  </si>
  <si>
    <t>loanInitialDrawdownDetails</t>
  </si>
  <si>
    <t>The requested amount of the outstanding transaction.</t>
  </si>
  <si>
    <t>actualAmount</t>
  </si>
  <si>
    <t>The actual amount of the outstanding transaction.</t>
  </si>
  <si>
    <t>The requested Currency of the outstanding transaction.</t>
  </si>
  <si>
    <t>actualCurrency</t>
  </si>
  <si>
    <t>The actual Currency of the outstanding transaction.</t>
  </si>
  <si>
    <t>The effective date of the transaction.</t>
  </si>
  <si>
    <t>status</t>
  </si>
  <si>
    <t>Current status of the Transaction</t>
  </si>
  <si>
    <r>
      <t>List of RID's Matching the specified criteria.</t>
    </r>
    <r>
      <rPr>
        <sz val="11"/>
        <rFont val="Calibri"/>
        <family val="2"/>
        <scheme val="minor"/>
      </rPr>
      <t xml:space="preserve"> It's a drawdown Id for loanIntialDrawdown</t>
    </r>
  </si>
  <si>
    <t xml:space="preserve">creationDate </t>
  </si>
  <si>
    <t>Date on which transaction was created</t>
  </si>
  <si>
    <t>The maturity date of the transaction.</t>
  </si>
  <si>
    <t>The next repricing date</t>
  </si>
  <si>
    <t>interestCycleFrequency</t>
  </si>
  <si>
    <t>message</t>
  </si>
  <si>
    <t>For Output of GetByID</t>
  </si>
  <si>
    <t>Comments</t>
  </si>
  <si>
    <t>proRata</t>
  </si>
  <si>
    <t>Note: This applies only to the separately licensed SLM Interface functionality.
Required if SLM host bank shares are being passed.
Indicates whether or not the Host Bank shares are Prorata or not.
Validation: If the message from the API is not prorate, the threshold should be ignored and the SLM amount is used regardless of the threshold.
If the message from the API is prorate, the system uses the threshold to validate the amount passed from the API and follow the regular threshold validations as stated above.
Not applicable to Accrual Payments.</t>
  </si>
  <si>
    <t>Since SLM Host bank functionality is not being supported for now, and also it is not a persistant field. Need a separate API for this.</t>
  </si>
  <si>
    <t>Non-persistant in Loan IQ</t>
  </si>
  <si>
    <t>pastDuePricingDetail</t>
  </si>
  <si>
    <t>Identified as a independentPastDueFeesAndAccruals which is present under PastDuePricingDetail sub elemnt</t>
  </si>
  <si>
    <t>isAccrueFromEffectiveDatePlus1</t>
  </si>
  <si>
    <t>isAccrueCOFFromEffectiveDatePlus1</t>
  </si>
  <si>
    <t>For Input of Create call</t>
  </si>
  <si>
    <t>Type</t>
  </si>
  <si>
    <t>Present in TRANSACT ()</t>
  </si>
  <si>
    <t>In REST API there is no partial commit, either full execution of failure</t>
  </si>
  <si>
    <t>TransactionPortfolioShare</t>
  </si>
  <si>
    <t>In a separate Lender Share API</t>
  </si>
  <si>
    <t>expenseCode</t>
  </si>
  <si>
    <t>portfolioCode</t>
  </si>
  <si>
    <t>branchCode</t>
  </si>
  <si>
    <t>classification</t>
  </si>
  <si>
    <r>
      <t xml:space="preserve">Validation: </t>
    </r>
    <r>
      <rPr>
        <sz val="10"/>
        <color rgb="FF414141"/>
        <rFont val="Roboto"/>
      </rPr>
      <t xml:space="preserve">The value assigned to this attribute must be one of the classification values listed in the </t>
    </r>
    <r>
      <rPr>
        <i/>
        <sz val="10"/>
        <color rgb="FF414141"/>
        <rFont val="Roboto"/>
      </rPr>
      <t>IFRS9 Classification</t>
    </r>
    <r>
      <rPr>
        <sz val="10"/>
        <color rgb="FF414141"/>
        <rFont val="Roboto"/>
      </rPr>
      <t xml:space="preserve"> code table.</t>
    </r>
  </si>
  <si>
    <t>CodeTable: IFRS9 Classification</t>
  </si>
  <si>
    <t>SLMHostBankLenderShare</t>
  </si>
  <si>
    <t>shareAmt</t>
  </si>
  <si>
    <t>customerExternalId</t>
  </si>
  <si>
    <t>Validation: The Customer ID that uniquely identifies the Customer. An active Lender or borrower Profile must exist, and it must have at least one completed location. The Location and Servicing Group default to the only available choices, if possible. The system defaults the Servicing Group to the active choice that has been flagged as the standard Servicing Group for that lender location if more than one exists. If more than one choice for the Location and/or Servicing Group exists, the client can supply this information via the Deal API.</t>
  </si>
  <si>
    <t>Optional. Status Code. The valid status codes are as follows:
·         AWSTA
·         AWA
·         AWARS
·         APPRV
·         LWREL
·         AUTOR
·         RELSD</t>
  </si>
  <si>
    <t>Only PEND status allowed for now, rest are out of scope</t>
  </si>
  <si>
    <r>
      <t xml:space="preserve">Validation: If no value is passed, or if the indicator is set to </t>
    </r>
    <r>
      <rPr>
        <i/>
        <sz val="9"/>
        <rFont val="Roboto"/>
      </rPr>
      <t>N</t>
    </r>
    <r>
      <rPr>
        <sz val="9"/>
        <rFont val="Roboto"/>
      </rPr>
      <t xml:space="preserve">, normal accrual from the effective date applies. If set to </t>
    </r>
    <r>
      <rPr>
        <i/>
        <sz val="9"/>
        <rFont val="Roboto"/>
      </rPr>
      <t>Y</t>
    </r>
    <r>
      <rPr>
        <sz val="9"/>
        <rFont val="Roboto"/>
      </rPr>
      <t xml:space="preserve">, accrual applies from one day after the effective date. </t>
    </r>
  </si>
  <si>
    <r>
      <t xml:space="preserve">Validation: If no value is passed, or if the indicator is set to </t>
    </r>
    <r>
      <rPr>
        <i/>
        <sz val="9"/>
        <rFont val="Roboto"/>
      </rPr>
      <t>N</t>
    </r>
    <r>
      <rPr>
        <sz val="9"/>
        <rFont val="Roboto"/>
      </rPr>
      <t xml:space="preserve">, normal accrual from the effective date applies. If set to </t>
    </r>
    <r>
      <rPr>
        <i/>
        <sz val="9"/>
        <rFont val="Roboto"/>
      </rPr>
      <t>Y</t>
    </r>
    <r>
      <rPr>
        <sz val="9"/>
        <rFont val="Roboto"/>
      </rPr>
      <t>, accrual applies from one day after the effective date.</t>
    </r>
  </si>
  <si>
    <t>Validation: Must be N if an F/X Rate is entered OR the Use Spot F/X Rate indicator is set to Y.</t>
  </si>
  <si>
    <t>Validation: Must be N if an F/X Rate is entered OR the Use Facility F/X Rate indicator is set to Y.</t>
  </si>
  <si>
    <t>For Input of Update call</t>
  </si>
  <si>
    <t>Note: This applies only to the separately licensed SLM Interface functionality.
Required if SLM host bank shares are being passed.
Indicates whether or not the Host Bank shares are Prorata or not.
Validation: If the message from the API is not Prorata, the threshold should be ignored and the SLM amount is used regardless of the threshold.
If the message from the API is Prorata, the system uses the threshold to validate the amount passed from the API and follow the regular threshold validations as stated above.
Not applicable to Accrual Payments.</t>
  </si>
  <si>
    <t>Used for validation, always true, Not required.</t>
  </si>
  <si>
    <t>If passed, status of the transaction will be changed to the status being passed. If no status is passed, the transaction will remain in its current status. 
Notes: 
•	The valid status codes are as follows:
o	AWSTA
o	AWA
o	AWARS
o	APPRV
o	LWREL
o	AUTOR
o	RELSD
•	The status of released cannot be passed if the Effective Date of the pending transaction is in the future. 
•	The following status code values are accepted by Loan IQ as per the enhancement - Auto-Release Functionality for Unscheduled Transactions and Event Fees:
o	LWREL – Awaiting Release
o	AUTOR – Awaiting Auto-Release</t>
  </si>
  <si>
    <t>It must be N if an FX Rate is entered OR the Use Spot CCY FX Rate indicator is set to Y.</t>
  </si>
  <si>
    <t>It must be N if an FX Rate is entered OR the Use Facility CCY FX Rate indicator is set to Y.</t>
  </si>
  <si>
    <t>does not exist in LoanIQ under FxRevaluationSchedule.</t>
  </si>
  <si>
    <t>Out of scope Sub-Elements for Create</t>
  </si>
  <si>
    <t>SubElement: WorkFlowTemplate</t>
  </si>
  <si>
    <t>SubElement: TransactionPortfolioShare</t>
  </si>
  <si>
    <t>Not supporting in REST</t>
  </si>
  <si>
    <t>Out of scope Sub-Elements for Update</t>
  </si>
  <si>
    <t xml:space="preserve">Subelement: SLMHostBankLenderShares </t>
  </si>
  <si>
    <t>Added hasSchedule flag and ScheduleType in Get call response and PUT Call request</t>
  </si>
  <si>
    <t>hasSchedule</t>
  </si>
  <si>
    <t>scheduleType</t>
  </si>
  <si>
    <t>Type of the current repayment schedule
Eg: FLEX, PRIN, PRINB</t>
  </si>
  <si>
    <t>Indicates whether a repayment schedule exists for Loan Initial drawdown Loan.
Validation Rule:
If hasSchedule = true, return scheduleType.
If hasSchedule = false, scheduleType should be omitted.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</si>
</sst>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3" x14ac:knownFonts="1">
    <font>
      <sz val="11"/>
      <color theme="1"/>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b/>
      <sz val="11"/>
      <color theme="0"/>
      <name val="Calibri"/>
      <family val="2"/>
      <scheme val="minor"/>
    </font>
    <font>
      <sz val="11"/>
      <color rgb="FFFF0000"/>
      <name val="Calibri"/>
      <family val="2"/>
      <scheme val="minor"/>
    </font>
    <font>
      <b/>
      <sz val="11"/>
      <color theme="1"/>
      <name val="Calibri"/>
      <family val="2"/>
      <scheme val="minor"/>
    </font>
    <font>
      <u/>
      <sz val="11"/>
      <color theme="10"/>
      <name val="Calibri"/>
      <family val="2"/>
      <scheme val="minor"/>
    </font>
    <font>
      <b/>
      <sz val="14"/>
      <color theme="1"/>
      <name val="Calibri"/>
      <family val="2"/>
      <scheme val="minor"/>
    </font>
    <font>
      <sz val="11"/>
      <name val="Calibri"/>
      <family val="2"/>
      <scheme val="minor"/>
    </font>
    <font>
      <sz val="9"/>
      <name val="Roboto"/>
    </font>
    <font>
      <i/>
      <sz val="9"/>
      <name val="Roboto"/>
    </font>
    <font>
      <sz val="9"/>
      <color rgb="FF414141"/>
      <name val="Roboto"/>
    </font>
    <font>
      <sz val="10"/>
      <color rgb="FF414141"/>
      <name val="Roboto"/>
    </font>
    <font>
      <i/>
      <sz val="10"/>
      <color rgb="FF414141"/>
      <name val="Roboto"/>
    </font>
    <font>
      <b/>
      <sz val="10"/>
      <color rgb="FF414141"/>
      <name val="Roboto"/>
    </font>
    <font>
      <i/>
      <sz val="11"/>
      <color theme="1"/>
      <name val="Calibri"/>
      <family val="2"/>
      <scheme val="minor"/>
    </font>
    <font>
      <sz val="14"/>
      <color theme="1"/>
      <name val="Calibri"/>
      <family val="2"/>
      <scheme val="minor"/>
    </font>
    <font>
      <i/>
      <sz val="9"/>
      <color rgb="FF414141"/>
      <name val="Roboto"/>
    </font>
    <font>
      <sz val="10"/>
      <name val="Symbol"/>
      <family val="1"/>
      <charset val="2"/>
    </font>
    <font>
      <sz val="7"/>
      <name val="Times New Roman"/>
      <family val="1"/>
    </font>
    <font>
      <sz val="10"/>
      <name val="Roboto"/>
    </font>
    <font>
      <sz val="10"/>
      <color rgb="FF414141"/>
      <name val="Symbol"/>
      <family val="1"/>
      <charset val="2"/>
    </font>
    <font>
      <sz val="7"/>
      <color rgb="FF414141"/>
      <name val="Times New Roman"/>
      <family val="1"/>
    </font>
    <font>
      <b/>
      <sz val="11"/>
      <color rgb="FF0070C0"/>
      <name val="Calibri"/>
      <family val="2"/>
      <scheme val="minor"/>
    </font>
    <font>
      <b/>
      <sz val="22"/>
      <color rgb="FF9C5700"/>
      <name val="Calibri"/>
      <family val="2"/>
      <scheme val="minor"/>
    </font>
    <font>
      <b/>
      <sz val="11"/>
      <color theme="4"/>
      <name val="Calibri"/>
      <family val="2"/>
      <scheme val="minor"/>
    </font>
    <font>
      <b/>
      <sz val="11"/>
      <name val="Calibri"/>
      <family val="2"/>
      <scheme val="minor"/>
    </font>
    <font>
      <sz val="11"/>
      <color theme="4" tint="-0.249977111117893"/>
      <name val="Calibri"/>
      <family val="2"/>
      <scheme val="minor"/>
    </font>
    <font>
      <sz val="11"/>
      <color rgb="FF000000"/>
      <name val="Calibri"/>
      <family val="2"/>
    </font>
    <font>
      <sz val="11"/>
      <color rgb="FFFF0000"/>
      <name val="Calibri"/>
      <family val="2"/>
    </font>
    <font>
      <sz val="11"/>
      <color theme="1"/>
      <name val="Calibri"/>
      <family val="2"/>
    </font>
    <font>
      <sz val="8"/>
      <name val="Calibri"/>
      <family val="2"/>
      <scheme val="minor"/>
    </font>
    <font>
      <sz val="11"/>
      <color rgb="FF000000"/>
      <name val="Calibri"/>
      <family val="2"/>
      <scheme val="minor"/>
    </font>
    <font>
      <sz val="9"/>
      <color rgb="FF000000"/>
      <name val="Calibri"/>
      <family val="2"/>
      <scheme val="minor"/>
    </font>
    <font>
      <b/>
      <sz val="11"/>
      <color rgb="FF00B050"/>
      <name val="Calibri"/>
      <family val="2"/>
      <scheme val="minor"/>
    </font>
    <font>
      <b/>
      <sz val="9"/>
      <color rgb="FF00B050"/>
      <name val="Roboto"/>
    </font>
    <font>
      <sz val="9"/>
      <color rgb="FF000000"/>
      <name val="Roboto"/>
    </font>
    <font>
      <b/>
      <sz val="9"/>
      <color rgb="FFFF0000"/>
      <name val="Roboto"/>
    </font>
    <font>
      <i/>
      <sz val="9"/>
      <color rgb="FF000000"/>
      <name val="Roboto"/>
    </font>
    <font>
      <b/>
      <sz val="11"/>
      <color rgb="FF92D050"/>
      <name val="Calibri"/>
      <scheme val="minor"/>
    </font>
    <font>
      <b/>
      <sz val="11"/>
      <color rgb="FF00B050"/>
      <name val="Calibri"/>
      <scheme val="minor"/>
    </font>
    <font>
      <b/>
      <sz val="11"/>
      <name val="Calibri"/>
      <scheme val="minor"/>
    </font>
  </fonts>
  <fills count="11">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A5A5A5"/>
      </patternFill>
    </fill>
    <fill>
      <patternFill patternType="solid">
        <fgColor theme="7" tint="0.79998168889431442"/>
        <bgColor indexed="64"/>
      </patternFill>
    </fill>
    <fill>
      <patternFill patternType="solid">
        <fgColor theme="6"/>
        <bgColor indexed="64"/>
      </patternFill>
    </fill>
    <fill>
      <patternFill patternType="solid">
        <fgColor rgb="FFFFFF00"/>
        <bgColor indexed="64"/>
      </patternFill>
    </fill>
    <fill>
      <patternFill patternType="solid">
        <fgColor theme="2" tint="-0.249977111117893"/>
        <bgColor indexed="64"/>
      </patternFill>
    </fill>
    <fill>
      <patternFill patternType="solid">
        <fgColor theme="0"/>
        <bgColor indexed="64"/>
      </patternFill>
    </fill>
  </fills>
  <borders count="17">
    <border>
      <left/>
      <right/>
      <top/>
      <bottom/>
      <diagonal/>
    </border>
    <border>
      <left style="double">
        <color rgb="FF3F3F3F"/>
      </left>
      <right style="double">
        <color rgb="FF3F3F3F"/>
      </right>
      <top style="double">
        <color rgb="FF3F3F3F"/>
      </top>
      <bottom style="double">
        <color rgb="FF3F3F3F"/>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bottom/>
      <diagonal/>
    </border>
    <border>
      <left style="thin">
        <color indexed="64"/>
      </left>
      <right/>
      <top style="thin">
        <color indexed="64"/>
      </top>
      <bottom/>
      <diagonal/>
    </border>
    <border>
      <left style="thin">
        <color indexed="64"/>
      </left>
      <right/>
      <top/>
      <bottom style="thin">
        <color indexed="64"/>
      </bottom>
      <diagonal/>
    </border>
  </borders>
  <cellStyleXfs count="6">
    <xf numFmtId="0" fontId="0" fillId="0" borderId="0"/>
    <xf numFmtId="0" fontId="1" fillId="2" borderId="0" applyNumberFormat="0" applyBorder="0" applyAlignment="0" applyProtection="0"/>
    <xf numFmtId="0" fontId="2" fillId="3" borderId="0" applyNumberFormat="0" applyBorder="0" applyAlignment="0" applyProtection="0"/>
    <xf numFmtId="0" fontId="3" fillId="4" borderId="0" applyNumberFormat="0" applyBorder="0" applyAlignment="0" applyProtection="0"/>
    <xf numFmtId="0" fontId="4" fillId="5" borderId="1" applyNumberFormat="0" applyAlignment="0" applyProtection="0"/>
    <xf numFmtId="0" fontId="7" fillId="0" borderId="0" applyNumberFormat="0" applyFill="0" applyBorder="0" applyAlignment="0" applyProtection="0"/>
  </cellStyleXfs>
  <cellXfs count="233">
    <xf numFmtId="0" fontId="0" fillId="0" borderId="0" xfId="0"/>
    <xf numFmtId="0" fontId="0" fillId="0" borderId="2" xfId="0" applyBorder="1" applyAlignment="1">
      <alignment vertical="center"/>
    </xf>
    <xf numFmtId="0" fontId="0" fillId="0" borderId="2" xfId="0" applyBorder="1" applyAlignment="1">
      <alignment horizontal="left" vertical="top"/>
    </xf>
    <xf numFmtId="0" fontId="0" fillId="0" borderId="2" xfId="0" applyBorder="1"/>
    <xf numFmtId="0" fontId="0" fillId="0" borderId="2" xfId="0" applyBorder="1" applyAlignment="1">
      <alignment wrapText="1"/>
    </xf>
    <xf numFmtId="0" fontId="6" fillId="7" borderId="2" xfId="0" applyFont="1" applyFill="1" applyBorder="1" applyAlignment="1">
      <alignment horizontal="center" wrapText="1"/>
    </xf>
    <xf numFmtId="0" fontId="6" fillId="7" borderId="2" xfId="0" applyFont="1" applyFill="1" applyBorder="1" applyAlignment="1">
      <alignment horizontal="center"/>
    </xf>
    <xf numFmtId="0" fontId="0" fillId="7" borderId="2" xfId="0" applyFill="1" applyBorder="1" applyAlignment="1">
      <alignment horizontal="center" wrapText="1"/>
    </xf>
    <xf numFmtId="0" fontId="0" fillId="0" borderId="0" xfId="0" applyAlignment="1">
      <alignment horizontal="center"/>
    </xf>
    <xf numFmtId="0" fontId="9" fillId="0" borderId="2" xfId="0" applyFont="1" applyBorder="1" applyAlignment="1">
      <alignment horizontal="center" vertical="center" wrapText="1"/>
    </xf>
    <xf numFmtId="0" fontId="0" fillId="0" borderId="2" xfId="0" applyBorder="1" applyAlignment="1">
      <alignment horizontal="center" vertical="center"/>
    </xf>
    <xf numFmtId="0" fontId="9" fillId="0" borderId="2" xfId="0" applyFont="1" applyBorder="1" applyAlignment="1">
      <alignment wrapText="1"/>
    </xf>
    <xf numFmtId="0" fontId="9" fillId="0" borderId="2" xfId="0" applyFont="1" applyBorder="1"/>
    <xf numFmtId="0" fontId="0" fillId="0" borderId="2" xfId="0" applyBorder="1" applyAlignment="1">
      <alignment horizontal="center" vertical="center" wrapText="1"/>
    </xf>
    <xf numFmtId="0" fontId="0" fillId="0" borderId="2" xfId="0" applyBorder="1" applyAlignment="1">
      <alignment horizontal="left" vertical="top" wrapText="1"/>
    </xf>
    <xf numFmtId="0" fontId="10" fillId="0" borderId="2" xfId="0" applyFont="1" applyBorder="1" applyAlignment="1">
      <alignment vertical="center" wrapText="1"/>
    </xf>
    <xf numFmtId="0" fontId="0" fillId="0" borderId="0" xfId="0" applyAlignment="1">
      <alignment wrapText="1"/>
    </xf>
    <xf numFmtId="0" fontId="13" fillId="0" borderId="2" xfId="0" applyFont="1" applyBorder="1" applyAlignment="1">
      <alignment wrapText="1"/>
    </xf>
    <xf numFmtId="0" fontId="15" fillId="0" borderId="2" xfId="0" applyFont="1" applyBorder="1" applyAlignment="1">
      <alignment wrapText="1"/>
    </xf>
    <xf numFmtId="0" fontId="0" fillId="0" borderId="3" xfId="0" applyBorder="1"/>
    <xf numFmtId="0" fontId="0" fillId="0" borderId="0" xfId="0" applyAlignment="1">
      <alignment vertical="center"/>
    </xf>
    <xf numFmtId="0" fontId="0" fillId="0" borderId="0" xfId="0" applyAlignment="1">
      <alignment horizontal="left" vertical="top"/>
    </xf>
    <xf numFmtId="0" fontId="7" fillId="0" borderId="0" xfId="5"/>
    <xf numFmtId="0" fontId="2" fillId="3" borderId="2" xfId="2" applyBorder="1" applyAlignment="1">
      <alignment wrapText="1"/>
    </xf>
    <xf numFmtId="0" fontId="9" fillId="0" borderId="5" xfId="0" applyFont="1" applyBorder="1" applyAlignment="1">
      <alignment vertical="center" wrapText="1"/>
    </xf>
    <xf numFmtId="0" fontId="0" fillId="0" borderId="5" xfId="0" applyBorder="1" applyAlignment="1">
      <alignment vertical="center" wrapText="1"/>
    </xf>
    <xf numFmtId="0" fontId="0" fillId="0" borderId="6" xfId="0" applyBorder="1" applyAlignment="1">
      <alignment vertical="center" wrapText="1"/>
    </xf>
    <xf numFmtId="0" fontId="9" fillId="0" borderId="2" xfId="0" applyFont="1" applyBorder="1" applyAlignment="1">
      <alignment horizontal="left" vertical="center" wrapText="1"/>
    </xf>
    <xf numFmtId="0" fontId="0" fillId="0" borderId="2" xfId="0" applyBorder="1" applyAlignment="1">
      <alignment vertical="center" wrapText="1"/>
    </xf>
    <xf numFmtId="0" fontId="6" fillId="7" borderId="2" xfId="0" applyFont="1" applyFill="1" applyBorder="1" applyAlignment="1">
      <alignment horizontal="left" vertical="center" wrapText="1"/>
    </xf>
    <xf numFmtId="0" fontId="6" fillId="7" borderId="2" xfId="0" applyFont="1" applyFill="1" applyBorder="1" applyAlignment="1">
      <alignment horizontal="center" vertical="center" wrapText="1"/>
    </xf>
    <xf numFmtId="0" fontId="0" fillId="7" borderId="2" xfId="0" applyFill="1" applyBorder="1" applyAlignment="1">
      <alignment horizontal="center" vertical="center" wrapText="1"/>
    </xf>
    <xf numFmtId="0" fontId="9" fillId="0" borderId="2" xfId="0" applyFont="1" applyBorder="1" applyAlignment="1">
      <alignment vertical="center" wrapText="1"/>
    </xf>
    <xf numFmtId="0" fontId="7" fillId="0" borderId="0" xfId="5" applyAlignment="1">
      <alignment horizontal="left" vertical="center"/>
    </xf>
    <xf numFmtId="0" fontId="0" fillId="0" borderId="0" xfId="0" applyAlignment="1">
      <alignment horizontal="left" vertical="center"/>
    </xf>
    <xf numFmtId="0" fontId="0" fillId="0" borderId="0" xfId="0" applyAlignment="1">
      <alignment vertical="center" wrapText="1"/>
    </xf>
    <xf numFmtId="0" fontId="0" fillId="0" borderId="2" xfId="0" applyBorder="1" applyAlignment="1">
      <alignment horizontal="center"/>
    </xf>
    <xf numFmtId="0" fontId="0" fillId="0" borderId="2" xfId="0" applyBorder="1" applyAlignment="1">
      <alignment horizontal="left"/>
    </xf>
    <xf numFmtId="0" fontId="6" fillId="7" borderId="2" xfId="0" applyFont="1" applyFill="1" applyBorder="1" applyAlignment="1">
      <alignment horizontal="left" wrapText="1"/>
    </xf>
    <xf numFmtId="0" fontId="4" fillId="5" borderId="1" xfId="4"/>
    <xf numFmtId="0" fontId="7" fillId="0" borderId="2" xfId="5" applyBorder="1"/>
    <xf numFmtId="0" fontId="0" fillId="0" borderId="4" xfId="0" applyBorder="1"/>
    <xf numFmtId="0" fontId="7" fillId="0" borderId="0" xfId="5" applyFill="1"/>
    <xf numFmtId="0" fontId="5" fillId="0" borderId="2" xfId="0" applyFont="1" applyBorder="1"/>
    <xf numFmtId="0" fontId="7" fillId="0" borderId="2" xfId="5" quotePrefix="1" applyBorder="1"/>
    <xf numFmtId="0" fontId="0" fillId="0" borderId="13" xfId="0" applyBorder="1"/>
    <xf numFmtId="0" fontId="0" fillId="0" borderId="13" xfId="0" applyBorder="1" applyAlignment="1">
      <alignment wrapText="1"/>
    </xf>
    <xf numFmtId="0" fontId="0" fillId="0" borderId="13" xfId="0" applyBorder="1" applyAlignment="1">
      <alignment horizontal="center" vertical="center"/>
    </xf>
    <xf numFmtId="0" fontId="0" fillId="0" borderId="2" xfId="0" applyBorder="1" applyAlignment="1">
      <alignment horizontal="left" vertical="center"/>
    </xf>
    <xf numFmtId="0" fontId="0" fillId="0" borderId="2" xfId="0" applyBorder="1" applyAlignment="1">
      <alignment horizontal="left" vertical="center" wrapText="1"/>
    </xf>
    <xf numFmtId="0" fontId="0" fillId="0" borderId="4" xfId="0" applyBorder="1" applyAlignment="1">
      <alignment horizontal="center" vertical="center" wrapText="1"/>
    </xf>
    <xf numFmtId="0" fontId="6" fillId="0" borderId="2" xfId="0" applyFont="1" applyBorder="1"/>
    <xf numFmtId="0" fontId="0" fillId="0" borderId="2" xfId="0" quotePrefix="1" applyBorder="1"/>
    <xf numFmtId="0" fontId="6" fillId="7" borderId="4" xfId="0" applyFont="1" applyFill="1" applyBorder="1" applyAlignment="1">
      <alignment horizontal="center" wrapText="1"/>
    </xf>
    <xf numFmtId="0" fontId="0" fillId="7" borderId="13" xfId="0" applyFill="1" applyBorder="1" applyAlignment="1">
      <alignment horizontal="center" wrapText="1"/>
    </xf>
    <xf numFmtId="0" fontId="0" fillId="8" borderId="2" xfId="0" applyFill="1" applyBorder="1" applyAlignment="1">
      <alignment vertical="center" wrapText="1"/>
    </xf>
    <xf numFmtId="0" fontId="0" fillId="0" borderId="14" xfId="0" applyBorder="1" applyAlignment="1">
      <alignment wrapText="1"/>
    </xf>
    <xf numFmtId="0" fontId="0" fillId="0" borderId="0" xfId="0" applyAlignment="1">
      <alignment horizontal="center" vertical="center" wrapText="1"/>
    </xf>
    <xf numFmtId="0" fontId="0" fillId="0" borderId="0" xfId="0" applyAlignment="1">
      <alignment horizontal="left" vertical="center" wrapText="1"/>
    </xf>
    <xf numFmtId="0" fontId="12" fillId="0" borderId="2" xfId="0" applyFont="1" applyBorder="1" applyAlignment="1">
      <alignment vertical="center" wrapText="1"/>
    </xf>
    <xf numFmtId="0" fontId="13" fillId="0" borderId="2" xfId="0" applyFont="1" applyBorder="1" applyAlignment="1">
      <alignment vertical="center" wrapText="1"/>
    </xf>
    <xf numFmtId="0" fontId="0" fillId="0" borderId="6" xfId="0" applyBorder="1" applyAlignment="1">
      <alignment wrapText="1"/>
    </xf>
    <xf numFmtId="0" fontId="0" fillId="0" borderId="4" xfId="0" applyBorder="1" applyAlignment="1">
      <alignment wrapText="1"/>
    </xf>
    <xf numFmtId="0" fontId="26" fillId="0" borderId="2" xfId="0" applyFont="1" applyBorder="1" applyAlignment="1">
      <alignment horizontal="center" vertical="center" wrapText="1"/>
    </xf>
    <xf numFmtId="0" fontId="25" fillId="4" borderId="7" xfId="3" applyFont="1" applyBorder="1" applyAlignment="1">
      <alignment horizontal="center" wrapText="1"/>
    </xf>
    <xf numFmtId="0" fontId="1" fillId="0" borderId="2" xfId="1" applyNumberFormat="1" applyFill="1" applyBorder="1" applyAlignment="1" applyProtection="1">
      <alignment horizontal="center" vertical="center" wrapText="1"/>
    </xf>
    <xf numFmtId="0" fontId="24" fillId="0" borderId="2" xfId="0" applyFont="1" applyBorder="1" applyAlignment="1">
      <alignment horizontal="center"/>
    </xf>
    <xf numFmtId="0" fontId="10" fillId="0" borderId="2" xfId="0" applyFont="1" applyBorder="1" applyAlignment="1">
      <alignment vertical="center"/>
    </xf>
    <xf numFmtId="0" fontId="12" fillId="0" borderId="2" xfId="0" applyFont="1" applyBorder="1" applyAlignment="1">
      <alignment vertical="center"/>
    </xf>
    <xf numFmtId="0" fontId="13" fillId="0" borderId="2" xfId="0" applyFont="1" applyBorder="1"/>
    <xf numFmtId="0" fontId="0" fillId="0" borderId="12" xfId="0" applyBorder="1" applyAlignment="1">
      <alignment horizontal="left" vertical="center" wrapText="1"/>
    </xf>
    <xf numFmtId="0" fontId="9" fillId="8" borderId="2" xfId="0" applyFont="1" applyFill="1" applyBorder="1" applyAlignment="1">
      <alignment vertical="center" wrapText="1"/>
    </xf>
    <xf numFmtId="0" fontId="0" fillId="8" borderId="2" xfId="0" applyFill="1" applyBorder="1" applyAlignment="1">
      <alignment horizontal="center" vertical="center" wrapText="1"/>
    </xf>
    <xf numFmtId="0" fontId="0" fillId="0" borderId="12" xfId="0" applyBorder="1" applyAlignment="1">
      <alignment vertical="center" wrapText="1"/>
    </xf>
    <xf numFmtId="0" fontId="0" fillId="0" borderId="12" xfId="0" applyBorder="1" applyAlignment="1">
      <alignment wrapText="1"/>
    </xf>
    <xf numFmtId="0" fontId="0" fillId="0" borderId="12" xfId="0" applyBorder="1"/>
    <xf numFmtId="0" fontId="0" fillId="0" borderId="9" xfId="0" applyBorder="1"/>
    <xf numFmtId="0" fontId="0" fillId="0" borderId="11" xfId="0" applyBorder="1"/>
    <xf numFmtId="0" fontId="0" fillId="0" borderId="0" xfId="0" applyAlignment="1">
      <alignment horizontal="left"/>
    </xf>
    <xf numFmtId="0" fontId="28" fillId="0" borderId="2" xfId="0" applyFont="1" applyBorder="1" applyAlignment="1">
      <alignment horizontal="center" vertical="center" wrapText="1"/>
    </xf>
    <xf numFmtId="0" fontId="28" fillId="0" borderId="2" xfId="0" applyFont="1" applyBorder="1" applyAlignment="1">
      <alignment horizontal="center" vertical="center"/>
    </xf>
    <xf numFmtId="0" fontId="31" fillId="0" borderId="12" xfId="0" applyFont="1" applyBorder="1" applyAlignment="1">
      <alignment horizontal="left" vertical="center" wrapText="1"/>
    </xf>
    <xf numFmtId="2" fontId="0" fillId="0" borderId="2" xfId="0" applyNumberFormat="1" applyBorder="1" applyAlignment="1">
      <alignment horizontal="center" vertical="center"/>
    </xf>
    <xf numFmtId="0" fontId="8" fillId="6" borderId="0" xfId="0" applyFont="1" applyFill="1" applyAlignment="1">
      <alignment horizontal="center"/>
    </xf>
    <xf numFmtId="0" fontId="9" fillId="0" borderId="0" xfId="0" applyFont="1" applyAlignment="1">
      <alignment horizontal="left" vertical="top" wrapText="1"/>
    </xf>
    <xf numFmtId="0" fontId="33" fillId="0" borderId="2" xfId="0" applyFont="1" applyBorder="1" applyAlignment="1">
      <alignment wrapText="1"/>
    </xf>
    <xf numFmtId="0" fontId="6" fillId="9" borderId="0" xfId="0" applyFont="1" applyFill="1" applyAlignment="1">
      <alignment vertical="center"/>
    </xf>
    <xf numFmtId="0" fontId="8" fillId="6" borderId="0" xfId="0" applyFont="1" applyFill="1" applyAlignment="1">
      <alignment horizontal="center" vertical="center" wrapText="1"/>
    </xf>
    <xf numFmtId="0" fontId="9" fillId="0" borderId="0" xfId="0" applyFont="1" applyAlignment="1">
      <alignment horizontal="left" vertical="center" wrapText="1"/>
    </xf>
    <xf numFmtId="0" fontId="34" fillId="0" borderId="0" xfId="0" applyFont="1"/>
    <xf numFmtId="0" fontId="7" fillId="0" borderId="2" xfId="5" applyFill="1" applyBorder="1"/>
    <xf numFmtId="0" fontId="0" fillId="0" borderId="2" xfId="0" applyBorder="1" applyAlignment="1">
      <alignment horizontal="center" wrapText="1"/>
    </xf>
    <xf numFmtId="0" fontId="0" fillId="0" borderId="12" xfId="0" quotePrefix="1" applyBorder="1" applyAlignment="1">
      <alignment wrapText="1"/>
    </xf>
    <xf numFmtId="0" fontId="33" fillId="0" borderId="2" xfId="0" applyFont="1" applyBorder="1" applyAlignment="1">
      <alignment vertical="center" wrapText="1"/>
    </xf>
    <xf numFmtId="0" fontId="9" fillId="0" borderId="2" xfId="0" applyFont="1" applyBorder="1" applyAlignment="1">
      <alignment horizontal="center" wrapText="1"/>
    </xf>
    <xf numFmtId="0" fontId="9" fillId="0" borderId="2" xfId="0" applyFont="1" applyBorder="1" applyAlignment="1">
      <alignment horizontal="center" vertical="center"/>
    </xf>
    <xf numFmtId="0" fontId="6" fillId="0" borderId="2" xfId="0" applyFont="1" applyBorder="1" applyAlignment="1">
      <alignment horizontal="center" vertical="center" wrapText="1"/>
    </xf>
    <xf numFmtId="0" fontId="6" fillId="0" borderId="2" xfId="0" applyFont="1" applyBorder="1" applyAlignment="1">
      <alignment horizontal="center" wrapText="1"/>
    </xf>
    <xf numFmtId="0" fontId="0" fillId="0" borderId="2" xfId="0" quotePrefix="1" applyBorder="1" applyAlignment="1">
      <alignment wrapText="1"/>
    </xf>
    <xf numFmtId="0" fontId="9" fillId="0" borderId="2" xfId="0" applyFont="1" applyBorder="1" applyAlignment="1">
      <alignment vertical="center"/>
    </xf>
    <xf numFmtId="0" fontId="6" fillId="0" borderId="2" xfId="0" applyFont="1" applyBorder="1" applyAlignment="1">
      <alignment horizontal="center"/>
    </xf>
    <xf numFmtId="0" fontId="0" fillId="9" borderId="0" xfId="0" applyFill="1" applyAlignment="1">
      <alignment horizontal="center" wrapText="1"/>
    </xf>
    <xf numFmtId="0" fontId="0" fillId="0" borderId="12" xfId="0" applyBorder="1" applyAlignment="1">
      <alignment vertical="center"/>
    </xf>
    <xf numFmtId="0" fontId="0" fillId="0" borderId="0" xfId="0" applyAlignment="1">
      <alignment horizontal="center" vertical="center"/>
    </xf>
    <xf numFmtId="0" fontId="33" fillId="0" borderId="6" xfId="0" applyFont="1" applyBorder="1" applyAlignment="1">
      <alignment wrapText="1"/>
    </xf>
    <xf numFmtId="0" fontId="33" fillId="0" borderId="0" xfId="0" applyFont="1" applyAlignment="1">
      <alignment wrapText="1"/>
    </xf>
    <xf numFmtId="0" fontId="33" fillId="0" borderId="11" xfId="0" applyFont="1" applyBorder="1" applyAlignment="1">
      <alignment wrapText="1"/>
    </xf>
    <xf numFmtId="0" fontId="33" fillId="0" borderId="11" xfId="0" applyFont="1" applyBorder="1" applyAlignment="1">
      <alignment vertical="center" wrapText="1"/>
    </xf>
    <xf numFmtId="0" fontId="9" fillId="0" borderId="0" xfId="0" applyFont="1" applyAlignment="1">
      <alignment vertical="center" wrapText="1"/>
    </xf>
    <xf numFmtId="0" fontId="9" fillId="0" borderId="3" xfId="0" applyFont="1" applyBorder="1" applyAlignment="1">
      <alignment horizontal="left" vertical="center" wrapText="1"/>
    </xf>
    <xf numFmtId="0" fontId="33" fillId="0" borderId="6" xfId="0" applyFont="1" applyBorder="1" applyAlignment="1">
      <alignment horizontal="center" vertical="center" wrapText="1"/>
    </xf>
    <xf numFmtId="0" fontId="33" fillId="0" borderId="11" xfId="0" applyFont="1" applyBorder="1" applyAlignment="1">
      <alignment horizontal="center" vertical="center" wrapText="1"/>
    </xf>
    <xf numFmtId="0" fontId="0" fillId="0" borderId="12" xfId="0" applyBorder="1" applyAlignment="1">
      <alignment horizontal="center"/>
    </xf>
    <xf numFmtId="0" fontId="0" fillId="0" borderId="12" xfId="0" applyBorder="1" applyAlignment="1">
      <alignment horizontal="center" vertical="center" wrapText="1"/>
    </xf>
    <xf numFmtId="0" fontId="9" fillId="0" borderId="5" xfId="0" applyFont="1" applyBorder="1" applyAlignment="1">
      <alignment horizontal="left" vertical="center" wrapText="1"/>
    </xf>
    <xf numFmtId="0" fontId="0" fillId="0" borderId="5" xfId="0" applyBorder="1" applyAlignment="1">
      <alignment horizontal="left" vertical="center" wrapText="1"/>
    </xf>
    <xf numFmtId="0" fontId="17" fillId="6" borderId="0" xfId="0" applyFont="1" applyFill="1" applyAlignment="1">
      <alignment horizontal="left" vertical="center" wrapText="1"/>
    </xf>
    <xf numFmtId="0" fontId="0" fillId="0" borderId="2" xfId="0" quotePrefix="1" applyBorder="1" applyAlignment="1">
      <alignment vertical="center" wrapText="1"/>
    </xf>
    <xf numFmtId="0" fontId="33" fillId="0" borderId="0" xfId="0" applyFont="1" applyAlignment="1">
      <alignment vertical="center" wrapText="1"/>
    </xf>
    <xf numFmtId="0" fontId="33" fillId="0" borderId="6" xfId="0" applyFont="1" applyBorder="1" applyAlignment="1">
      <alignment vertical="center" wrapText="1"/>
    </xf>
    <xf numFmtId="0" fontId="15" fillId="0" borderId="2" xfId="0" applyFont="1" applyBorder="1" applyAlignment="1">
      <alignment vertical="center" wrapText="1"/>
    </xf>
    <xf numFmtId="0" fontId="8" fillId="0" borderId="0" xfId="0" applyFont="1" applyAlignment="1">
      <alignment horizontal="center" vertical="center" wrapText="1"/>
    </xf>
    <xf numFmtId="0" fontId="34" fillId="0" borderId="0" xfId="0" applyFont="1" applyAlignment="1">
      <alignment vertical="center"/>
    </xf>
    <xf numFmtId="0" fontId="36" fillId="0" borderId="2" xfId="0" applyFont="1" applyBorder="1" applyAlignment="1">
      <alignment vertical="center" wrapText="1"/>
    </xf>
    <xf numFmtId="0" fontId="37" fillId="0" borderId="2" xfId="0" applyFont="1" applyBorder="1" applyAlignment="1">
      <alignment vertical="center" wrapText="1"/>
    </xf>
    <xf numFmtId="0" fontId="9" fillId="0" borderId="4" xfId="0" applyFont="1" applyBorder="1" applyAlignment="1">
      <alignment horizontal="center" vertical="center" wrapText="1"/>
    </xf>
    <xf numFmtId="0" fontId="7" fillId="0" borderId="0" xfId="5" applyAlignment="1">
      <alignment horizontal="center" vertical="center" wrapText="1"/>
    </xf>
    <xf numFmtId="0" fontId="0" fillId="0" borderId="3" xfId="0" applyBorder="1" applyAlignment="1">
      <alignment horizontal="left"/>
    </xf>
    <xf numFmtId="0" fontId="6" fillId="0" borderId="2" xfId="0" applyFont="1" applyBorder="1" applyAlignment="1">
      <alignment horizontal="left"/>
    </xf>
    <xf numFmtId="15" fontId="0" fillId="0" borderId="2" xfId="0" applyNumberFormat="1" applyBorder="1" applyAlignment="1">
      <alignment horizontal="left"/>
    </xf>
    <xf numFmtId="15" fontId="0" fillId="8" borderId="2" xfId="0" applyNumberFormat="1" applyFill="1" applyBorder="1" applyAlignment="1">
      <alignment horizontal="left"/>
    </xf>
    <xf numFmtId="0" fontId="0" fillId="0" borderId="12" xfId="0" applyBorder="1" applyAlignment="1">
      <alignment horizontal="left"/>
    </xf>
    <xf numFmtId="15" fontId="0" fillId="0" borderId="6" xfId="0" applyNumberFormat="1" applyBorder="1" applyAlignment="1">
      <alignment horizontal="left"/>
    </xf>
    <xf numFmtId="15" fontId="0" fillId="0" borderId="9" xfId="0" applyNumberFormat="1" applyBorder="1" applyAlignment="1">
      <alignment horizontal="left"/>
    </xf>
    <xf numFmtId="15" fontId="0" fillId="0" borderId="10" xfId="0" applyNumberFormat="1" applyBorder="1" applyAlignment="1">
      <alignment horizontal="left"/>
    </xf>
    <xf numFmtId="15" fontId="0" fillId="0" borderId="11" xfId="0" applyNumberFormat="1" applyBorder="1" applyAlignment="1">
      <alignment horizontal="left"/>
    </xf>
    <xf numFmtId="14" fontId="0" fillId="0" borderId="2" xfId="0" applyNumberFormat="1" applyBorder="1" applyAlignment="1">
      <alignment horizontal="left"/>
    </xf>
    <xf numFmtId="14" fontId="0" fillId="0" borderId="12" xfId="0" applyNumberFormat="1" applyBorder="1" applyAlignment="1">
      <alignment horizontal="left"/>
    </xf>
    <xf numFmtId="0" fontId="0" fillId="8" borderId="2" xfId="0" applyFill="1" applyBorder="1" applyAlignment="1">
      <alignment horizontal="left" vertical="top" wrapText="1"/>
    </xf>
    <xf numFmtId="0" fontId="9" fillId="8" borderId="2" xfId="0" applyFont="1" applyFill="1" applyBorder="1" applyAlignment="1">
      <alignment horizontal="center" vertical="center" wrapText="1"/>
    </xf>
    <xf numFmtId="0" fontId="0" fillId="8" borderId="2" xfId="0" applyFill="1" applyBorder="1" applyAlignment="1">
      <alignment horizontal="left" vertical="center" wrapText="1"/>
    </xf>
    <xf numFmtId="0" fontId="0" fillId="8" borderId="2" xfId="0" applyFill="1" applyBorder="1" applyAlignment="1">
      <alignment wrapText="1"/>
    </xf>
    <xf numFmtId="0" fontId="0" fillId="8" borderId="2" xfId="0" applyFill="1" applyBorder="1"/>
    <xf numFmtId="0" fontId="0" fillId="8" borderId="4" xfId="0" applyFill="1" applyBorder="1" applyAlignment="1">
      <alignment horizontal="center" vertical="center" wrapText="1"/>
    </xf>
    <xf numFmtId="0" fontId="0" fillId="8" borderId="0" xfId="0" applyFill="1"/>
    <xf numFmtId="0" fontId="6" fillId="10" borderId="2" xfId="0" applyFont="1" applyFill="1" applyBorder="1" applyAlignment="1">
      <alignment horizontal="center" vertical="center" wrapText="1"/>
    </xf>
    <xf numFmtId="0" fontId="0" fillId="10" borderId="2" xfId="0" applyFill="1" applyBorder="1" applyAlignment="1">
      <alignment horizontal="left" vertical="center" wrapText="1"/>
    </xf>
    <xf numFmtId="0" fontId="9" fillId="10" borderId="2" xfId="0" applyFont="1" applyFill="1" applyBorder="1" applyAlignment="1">
      <alignment vertical="center" wrapText="1"/>
    </xf>
    <xf numFmtId="0" fontId="0" fillId="10" borderId="2" xfId="0" applyFill="1" applyBorder="1" applyAlignment="1">
      <alignment vertical="center" wrapText="1"/>
    </xf>
    <xf numFmtId="0" fontId="0" fillId="10" borderId="2" xfId="0" applyFill="1" applyBorder="1" applyAlignment="1">
      <alignment horizontal="center" vertical="center" wrapText="1"/>
    </xf>
    <xf numFmtId="0" fontId="0" fillId="10" borderId="0" xfId="0" applyFill="1" applyAlignment="1">
      <alignment vertical="center" wrapText="1"/>
    </xf>
    <xf numFmtId="15" fontId="0" fillId="0" borderId="2" xfId="0" applyNumberFormat="1" applyBorder="1" applyAlignment="1">
      <alignment horizontal="left" vertical="center"/>
    </xf>
    <xf numFmtId="0" fontId="0" fillId="7" borderId="4" xfId="0" applyFill="1" applyBorder="1" applyAlignment="1">
      <alignment horizontal="center" wrapText="1"/>
    </xf>
    <xf numFmtId="0" fontId="33" fillId="0" borderId="4" xfId="0" applyFont="1" applyBorder="1" applyAlignment="1">
      <alignment wrapText="1"/>
    </xf>
    <xf numFmtId="0" fontId="0" fillId="7" borderId="6" xfId="0" applyFill="1" applyBorder="1" applyAlignment="1">
      <alignment horizontal="center" wrapText="1"/>
    </xf>
    <xf numFmtId="0" fontId="24" fillId="0" borderId="6" xfId="0" applyFont="1" applyBorder="1" applyAlignment="1">
      <alignment horizontal="center"/>
    </xf>
    <xf numFmtId="0" fontId="0" fillId="0" borderId="6" xfId="0" applyBorder="1"/>
    <xf numFmtId="0" fontId="0" fillId="0" borderId="15" xfId="0" applyBorder="1" applyAlignment="1">
      <alignment horizontal="center" vertical="center" wrapText="1"/>
    </xf>
    <xf numFmtId="0" fontId="0" fillId="8" borderId="15" xfId="0" applyFill="1" applyBorder="1" applyAlignment="1">
      <alignment horizontal="center" vertical="center" wrapText="1"/>
    </xf>
    <xf numFmtId="0" fontId="0" fillId="0" borderId="16" xfId="0" applyBorder="1" applyAlignment="1">
      <alignment horizontal="center" vertical="center" wrapText="1"/>
    </xf>
    <xf numFmtId="0" fontId="0" fillId="0" borderId="14" xfId="0" applyBorder="1" applyAlignment="1">
      <alignment horizontal="center" vertical="center" wrapText="1"/>
    </xf>
    <xf numFmtId="0" fontId="35" fillId="0" borderId="2" xfId="0" applyFont="1" applyBorder="1" applyAlignment="1">
      <alignment wrapText="1"/>
    </xf>
    <xf numFmtId="0" fontId="35" fillId="0" borderId="0" xfId="0" applyFont="1" applyAlignment="1">
      <alignment wrapText="1"/>
    </xf>
    <xf numFmtId="0" fontId="42" fillId="0" borderId="2" xfId="0" applyFont="1" applyBorder="1" applyAlignment="1">
      <alignment wrapText="1"/>
    </xf>
    <xf numFmtId="0" fontId="0" fillId="0" borderId="2" xfId="0" applyBorder="1" applyAlignment="1">
      <alignment horizontal="center" wrapText="1"/>
    </xf>
    <xf numFmtId="0" fontId="0" fillId="0" borderId="0" xfId="0"/>
    <xf numFmtId="0" fontId="8" fillId="6" borderId="2" xfId="0" applyFont="1" applyFill="1" applyBorder="1" applyAlignment="1">
      <alignment horizontal="center"/>
    </xf>
    <xf numFmtId="0" fontId="0" fillId="0" borderId="2" xfId="0" applyBorder="1" applyAlignment="1">
      <alignment horizontal="left" wrapText="1"/>
    </xf>
    <xf numFmtId="0" fontId="9" fillId="0" borderId="2" xfId="0" applyFont="1" applyBorder="1" applyAlignment="1">
      <alignment horizontal="left" vertical="top" wrapText="1"/>
    </xf>
    <xf numFmtId="0" fontId="0" fillId="0" borderId="2" xfId="0" applyBorder="1" applyAlignment="1">
      <alignment horizontal="left" vertical="center"/>
    </xf>
    <xf numFmtId="0" fontId="8" fillId="6" borderId="4" xfId="0" applyFont="1" applyFill="1" applyBorder="1" applyAlignment="1">
      <alignment horizontal="center"/>
    </xf>
    <xf numFmtId="0" fontId="8" fillId="6" borderId="5" xfId="0" applyFont="1" applyFill="1" applyBorder="1" applyAlignment="1">
      <alignment horizontal="center"/>
    </xf>
    <xf numFmtId="0" fontId="8" fillId="6" borderId="6" xfId="0" applyFont="1" applyFill="1" applyBorder="1" applyAlignment="1">
      <alignment horizontal="center"/>
    </xf>
    <xf numFmtId="0" fontId="1" fillId="0" borderId="12" xfId="1" applyFill="1" applyBorder="1" applyAlignment="1">
      <alignment horizontal="center" vertical="center" wrapText="1"/>
    </xf>
    <xf numFmtId="0" fontId="1" fillId="0" borderId="3" xfId="1" applyFill="1" applyBorder="1" applyAlignment="1">
      <alignment horizontal="center" vertical="center" wrapText="1"/>
    </xf>
    <xf numFmtId="0" fontId="1" fillId="0" borderId="12" xfId="1" applyNumberFormat="1" applyFill="1" applyBorder="1" applyAlignment="1" applyProtection="1">
      <alignment horizontal="center" vertical="center" wrapText="1"/>
    </xf>
    <xf numFmtId="0" fontId="1" fillId="0" borderId="3" xfId="1" applyNumberFormat="1" applyFill="1" applyBorder="1" applyAlignment="1" applyProtection="1">
      <alignment horizontal="center" vertical="center" wrapText="1"/>
    </xf>
    <xf numFmtId="0" fontId="9" fillId="0" borderId="12" xfId="0" applyFont="1" applyBorder="1" applyAlignment="1">
      <alignment horizontal="center" vertical="center"/>
    </xf>
    <xf numFmtId="0" fontId="9" fillId="0" borderId="3" xfId="0" applyFont="1" applyBorder="1" applyAlignment="1">
      <alignment horizontal="center" vertical="center"/>
    </xf>
    <xf numFmtId="0" fontId="0" fillId="8" borderId="12" xfId="0" applyFill="1" applyBorder="1" applyAlignment="1">
      <alignment horizontal="left" vertical="center" wrapText="1"/>
    </xf>
    <xf numFmtId="0" fontId="0" fillId="8" borderId="13" xfId="0" applyFill="1" applyBorder="1" applyAlignment="1">
      <alignment horizontal="left" vertical="center" wrapText="1"/>
    </xf>
    <xf numFmtId="0" fontId="0" fillId="8" borderId="3" xfId="0" applyFill="1" applyBorder="1" applyAlignment="1">
      <alignment horizontal="left" vertical="center" wrapText="1"/>
    </xf>
    <xf numFmtId="0" fontId="3" fillId="4" borderId="4" xfId="3" applyBorder="1" applyAlignment="1">
      <alignment horizontal="center"/>
    </xf>
    <xf numFmtId="0" fontId="3" fillId="4" borderId="5" xfId="3" applyBorder="1" applyAlignment="1">
      <alignment horizontal="center"/>
    </xf>
    <xf numFmtId="0" fontId="3" fillId="4" borderId="6" xfId="3" applyBorder="1" applyAlignment="1">
      <alignment horizontal="center"/>
    </xf>
    <xf numFmtId="0" fontId="0" fillId="0" borderId="2" xfId="0" applyBorder="1" applyAlignment="1">
      <alignment horizontal="center" vertical="center"/>
    </xf>
    <xf numFmtId="0" fontId="0" fillId="0" borderId="12" xfId="0" applyBorder="1" applyAlignment="1">
      <alignment horizontal="center" vertical="center"/>
    </xf>
    <xf numFmtId="0" fontId="0" fillId="0" borderId="13" xfId="0" applyBorder="1" applyAlignment="1">
      <alignment horizontal="center" vertical="center"/>
    </xf>
    <xf numFmtId="0" fontId="0" fillId="0" borderId="3" xfId="0" applyBorder="1" applyAlignment="1">
      <alignment horizontal="center" vertical="center"/>
    </xf>
    <xf numFmtId="0" fontId="8" fillId="6" borderId="4" xfId="0" applyFont="1" applyFill="1" applyBorder="1" applyAlignment="1">
      <alignment horizontal="center" vertical="center" wrapText="1"/>
    </xf>
    <xf numFmtId="0" fontId="8" fillId="6" borderId="5" xfId="0" applyFont="1" applyFill="1" applyBorder="1" applyAlignment="1">
      <alignment horizontal="center" vertical="center" wrapText="1"/>
    </xf>
    <xf numFmtId="0" fontId="8" fillId="6" borderId="6" xfId="0" applyFont="1" applyFill="1" applyBorder="1" applyAlignment="1">
      <alignment horizontal="center" vertical="center" wrapText="1"/>
    </xf>
    <xf numFmtId="0" fontId="0" fillId="0" borderId="4" xfId="0" applyBorder="1" applyAlignment="1">
      <alignment horizontal="left" vertical="center" wrapText="1"/>
    </xf>
    <xf numFmtId="0" fontId="0" fillId="0" borderId="5" xfId="0" applyBorder="1" applyAlignment="1">
      <alignment horizontal="left" vertical="center" wrapText="1"/>
    </xf>
    <xf numFmtId="0" fontId="0" fillId="0" borderId="6" xfId="0" applyBorder="1" applyAlignment="1">
      <alignment horizontal="left" vertical="center" wrapText="1"/>
    </xf>
    <xf numFmtId="0" fontId="9" fillId="0" borderId="4" xfId="0" applyFont="1" applyBorder="1" applyAlignment="1">
      <alignment horizontal="left" vertical="center" wrapText="1"/>
    </xf>
    <xf numFmtId="0" fontId="9" fillId="0" borderId="5" xfId="0" applyFont="1" applyBorder="1" applyAlignment="1">
      <alignment horizontal="left" vertical="center" wrapText="1"/>
    </xf>
    <xf numFmtId="0" fontId="9" fillId="0" borderId="6" xfId="0" applyFont="1" applyBorder="1" applyAlignment="1">
      <alignment horizontal="left" vertical="center" wrapText="1"/>
    </xf>
    <xf numFmtId="0" fontId="0" fillId="0" borderId="12" xfId="0" applyBorder="1" applyAlignment="1">
      <alignment horizontal="center" vertical="center" wrapText="1"/>
    </xf>
    <xf numFmtId="0" fontId="0" fillId="0" borderId="3" xfId="0" applyBorder="1" applyAlignment="1">
      <alignment horizontal="center" vertical="center" wrapText="1"/>
    </xf>
    <xf numFmtId="0" fontId="0" fillId="0" borderId="2" xfId="0" applyBorder="1" applyAlignment="1">
      <alignment horizontal="left" vertical="center" wrapText="1"/>
    </xf>
    <xf numFmtId="0" fontId="17" fillId="6" borderId="2" xfId="0" applyFont="1" applyFill="1" applyBorder="1" applyAlignment="1">
      <alignment horizontal="left" vertical="center" wrapText="1"/>
    </xf>
    <xf numFmtId="0" fontId="9" fillId="0" borderId="7" xfId="0" applyFont="1" applyBorder="1" applyAlignment="1">
      <alignment horizontal="left" vertical="center" wrapText="1"/>
    </xf>
    <xf numFmtId="0" fontId="0" fillId="0" borderId="13" xfId="0" applyBorder="1" applyAlignment="1">
      <alignment horizontal="center" vertical="center" wrapText="1"/>
    </xf>
    <xf numFmtId="0" fontId="0" fillId="0" borderId="12" xfId="0" applyBorder="1" applyAlignment="1">
      <alignment horizontal="center"/>
    </xf>
    <xf numFmtId="0" fontId="0" fillId="0" borderId="3" xfId="0" applyBorder="1" applyAlignment="1">
      <alignment horizontal="center"/>
    </xf>
    <xf numFmtId="0" fontId="0" fillId="0" borderId="4" xfId="0" applyBorder="1" applyAlignment="1">
      <alignment horizontal="left" vertical="top"/>
    </xf>
    <xf numFmtId="0" fontId="0" fillId="0" borderId="5" xfId="0" applyBorder="1" applyAlignment="1">
      <alignment horizontal="left" vertical="top"/>
    </xf>
    <xf numFmtId="0" fontId="0" fillId="0" borderId="6" xfId="0" applyBorder="1" applyAlignment="1">
      <alignment horizontal="left" vertical="top"/>
    </xf>
    <xf numFmtId="0" fontId="17" fillId="6" borderId="2" xfId="0" applyFont="1" applyFill="1" applyBorder="1" applyAlignment="1">
      <alignment horizontal="left"/>
    </xf>
    <xf numFmtId="0" fontId="0" fillId="0" borderId="2" xfId="0" applyBorder="1" applyAlignment="1">
      <alignment horizontal="left"/>
    </xf>
    <xf numFmtId="0" fontId="22" fillId="0" borderId="7" xfId="0" applyFont="1" applyBorder="1" applyAlignment="1">
      <alignment horizontal="left" vertical="center"/>
    </xf>
    <xf numFmtId="0" fontId="22" fillId="0" borderId="11" xfId="0" applyFont="1" applyBorder="1" applyAlignment="1">
      <alignment horizontal="left" vertical="center"/>
    </xf>
    <xf numFmtId="0" fontId="17" fillId="6" borderId="2" xfId="0" applyFont="1" applyFill="1" applyBorder="1" applyAlignment="1">
      <alignment horizontal="left" wrapText="1"/>
    </xf>
    <xf numFmtId="0" fontId="19" fillId="0" borderId="8" xfId="0" applyFont="1" applyBorder="1" applyAlignment="1">
      <alignment horizontal="left" vertical="center"/>
    </xf>
    <xf numFmtId="0" fontId="19" fillId="0" borderId="9" xfId="0" applyFont="1" applyBorder="1" applyAlignment="1">
      <alignment horizontal="left" vertical="center"/>
    </xf>
    <xf numFmtId="0" fontId="22" fillId="0" borderId="0" xfId="0" applyFont="1" applyAlignment="1">
      <alignment horizontal="left" vertical="center"/>
    </xf>
    <xf numFmtId="0" fontId="22" fillId="0" borderId="10" xfId="0" applyFont="1" applyBorder="1" applyAlignment="1">
      <alignment horizontal="left" vertical="center"/>
    </xf>
    <xf numFmtId="0" fontId="25" fillId="4" borderId="7" xfId="3" applyFont="1" applyBorder="1" applyAlignment="1">
      <alignment horizontal="center" wrapText="1"/>
    </xf>
    <xf numFmtId="0" fontId="8" fillId="6" borderId="12" xfId="0" applyFont="1" applyFill="1" applyBorder="1" applyAlignment="1">
      <alignment horizontal="center" wrapText="1"/>
    </xf>
    <xf numFmtId="0" fontId="0" fillId="0" borderId="14" xfId="0" applyBorder="1" applyAlignment="1">
      <alignment horizontal="center" wrapText="1"/>
    </xf>
    <xf numFmtId="0" fontId="0" fillId="0" borderId="0" xfId="0" applyAlignment="1">
      <alignment horizontal="center" wrapText="1"/>
    </xf>
    <xf numFmtId="0" fontId="0" fillId="0" borderId="8" xfId="0" applyBorder="1" applyAlignment="1">
      <alignment horizontal="center" wrapText="1"/>
    </xf>
    <xf numFmtId="0" fontId="0" fillId="0" borderId="12" xfId="0" applyBorder="1" applyAlignment="1">
      <alignment horizontal="center" wrapText="1"/>
    </xf>
    <xf numFmtId="0" fontId="0" fillId="0" borderId="3" xfId="0" applyBorder="1" applyAlignment="1">
      <alignment horizontal="center" wrapText="1"/>
    </xf>
    <xf numFmtId="0" fontId="0" fillId="0" borderId="10" xfId="0" applyBorder="1" applyAlignment="1">
      <alignment horizontal="center" wrapText="1"/>
    </xf>
    <xf numFmtId="0" fontId="0" fillId="0" borderId="14" xfId="0" applyBorder="1" applyAlignment="1">
      <alignment horizontal="center" vertical="top" wrapText="1"/>
    </xf>
    <xf numFmtId="0" fontId="0" fillId="0" borderId="10" xfId="0" applyBorder="1" applyAlignment="1">
      <alignment horizontal="center" vertical="top" wrapText="1"/>
    </xf>
    <xf numFmtId="0" fontId="0" fillId="0" borderId="2" xfId="0" applyFill="1" applyBorder="1" applyAlignment="1">
      <alignment horizontal="center" vertical="center"/>
    </xf>
    <xf numFmtId="0" fontId="0" fillId="0" borderId="0" xfId="0" applyBorder="1" applyAlignment="1">
      <alignment wrapText="1"/>
    </xf>
    <xf numFmtId="0" fontId="0" fillId="10" borderId="2" xfId="0" applyFill="1" applyBorder="1"/>
    <xf numFmtId="0" fontId="0" fillId="8" borderId="2" xfId="0" applyFill="1" applyBorder="1" applyAlignment="1">
      <alignment vertical="center"/>
    </xf>
    <xf numFmtId="0" fontId="0" fillId="10" borderId="0" xfId="0" applyFill="1" applyAlignment="1">
      <alignment vertical="center"/>
    </xf>
  </cellXfs>
  <cellStyles count="6">
    <cellStyle name="Bad" xfId="2" builtinId="27"/>
    <cellStyle name="Check Cell" xfId="4" builtinId="23"/>
    <cellStyle name="Good" xfId="1" builtinId="26"/>
    <cellStyle name="Hyperlink" xfId="5" builtinId="8"/>
    <cellStyle name="Neutral" xfId="3" builtinId="28"/>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153458</xdr:colOff>
      <xdr:row>42</xdr:row>
      <xdr:rowOff>88899</xdr:rowOff>
    </xdr:from>
    <xdr:to>
      <xdr:col>5</xdr:col>
      <xdr:colOff>1214568</xdr:colOff>
      <xdr:row>77</xdr:row>
      <xdr:rowOff>24265</xdr:rowOff>
    </xdr:to>
    <xdr:pic>
      <xdr:nvPicPr>
        <xdr:cNvPr id="2" name="Picture 1">
          <a:extLst>
            <a:ext uri="{FF2B5EF4-FFF2-40B4-BE49-F238E27FC236}">
              <a16:creationId xmlns:a16="http://schemas.microsoft.com/office/drawing/2014/main" id="{62351F88-D634-B703-5B04-6D706003567B}"/>
            </a:ext>
          </a:extLst>
        </xdr:cNvPr>
        <xdr:cNvPicPr>
          <a:picLocks noChangeAspect="1"/>
        </xdr:cNvPicPr>
      </xdr:nvPicPr>
      <xdr:blipFill>
        <a:blip xmlns:r="http://schemas.openxmlformats.org/officeDocument/2006/relationships" r:embed="rId1"/>
        <a:stretch>
          <a:fillRect/>
        </a:stretch>
      </xdr:blipFill>
      <xdr:spPr>
        <a:xfrm>
          <a:off x="458258" y="11490324"/>
          <a:ext cx="7623835" cy="6269491"/>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jira.finastra.com/browse/LIQ-149111"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0"/>
  <sheetViews>
    <sheetView workbookViewId="0">
      <selection activeCell="B22" sqref="B22"/>
    </sheetView>
  </sheetViews>
  <sheetFormatPr defaultRowHeight="14.4" x14ac:dyDescent="0.3"/>
  <cols>
    <col min="1" max="1" width="6.6640625" bestFit="1" customWidth="1"/>
    <col min="2" max="2" width="38.88671875" bestFit="1" customWidth="1"/>
    <col min="3" max="3" width="107.44140625" bestFit="1" customWidth="1"/>
    <col min="4" max="4" width="27.88671875" bestFit="1" customWidth="1"/>
  </cols>
  <sheetData>
    <row r="1" spans="1:4" ht="15.6" thickTop="1" thickBot="1" x14ac:dyDescent="0.35">
      <c r="A1" s="39" t="s">
        <v>0</v>
      </c>
      <c r="B1" s="39" t="s">
        <v>1</v>
      </c>
      <c r="C1" s="39" t="s">
        <v>2</v>
      </c>
      <c r="D1" s="39" t="s">
        <v>3</v>
      </c>
    </row>
    <row r="2" spans="1:4" ht="15" thickTop="1" x14ac:dyDescent="0.3">
      <c r="A2" s="37">
        <v>1</v>
      </c>
      <c r="B2" s="40" t="s">
        <v>4</v>
      </c>
      <c r="C2" s="41"/>
      <c r="D2" s="3"/>
    </row>
    <row r="3" spans="1:4" x14ac:dyDescent="0.3">
      <c r="A3" s="37">
        <f>A2+1</f>
        <v>2</v>
      </c>
      <c r="B3" s="44" t="s">
        <v>5</v>
      </c>
      <c r="C3" s="41"/>
      <c r="D3" s="3"/>
    </row>
    <row r="4" spans="1:4" x14ac:dyDescent="0.3">
      <c r="A4" s="37">
        <f t="shared" ref="A4:A7" si="0">A3+1</f>
        <v>3</v>
      </c>
      <c r="B4" s="40" t="s">
        <v>6</v>
      </c>
      <c r="C4" s="41"/>
      <c r="D4" s="3"/>
    </row>
    <row r="5" spans="1:4" x14ac:dyDescent="0.3">
      <c r="A5" s="37">
        <f t="shared" si="0"/>
        <v>4</v>
      </c>
      <c r="B5" s="42" t="s">
        <v>7</v>
      </c>
      <c r="C5" s="41"/>
      <c r="D5" s="43"/>
    </row>
    <row r="6" spans="1:4" x14ac:dyDescent="0.3">
      <c r="A6" s="37">
        <f t="shared" si="0"/>
        <v>5</v>
      </c>
      <c r="B6" s="40" t="s">
        <v>8</v>
      </c>
      <c r="C6" s="41" t="s">
        <v>9</v>
      </c>
      <c r="D6" s="3"/>
    </row>
    <row r="7" spans="1:4" x14ac:dyDescent="0.3">
      <c r="A7" s="37">
        <f t="shared" si="0"/>
        <v>6</v>
      </c>
      <c r="B7" s="44" t="s">
        <v>10</v>
      </c>
      <c r="C7" s="41"/>
      <c r="D7" s="3"/>
    </row>
    <row r="8" spans="1:4" x14ac:dyDescent="0.3">
      <c r="A8" s="182" t="s">
        <v>11</v>
      </c>
      <c r="B8" s="183"/>
      <c r="C8" s="183"/>
      <c r="D8" s="184"/>
    </row>
    <row r="9" spans="1:4" x14ac:dyDescent="0.3">
      <c r="A9" s="3"/>
      <c r="B9" s="3" t="s">
        <v>12</v>
      </c>
      <c r="C9" s="3"/>
      <c r="D9" s="3"/>
    </row>
    <row r="10" spans="1:4" x14ac:dyDescent="0.3">
      <c r="A10" s="3"/>
      <c r="B10" s="3" t="s">
        <v>13</v>
      </c>
      <c r="C10" s="3"/>
      <c r="D10" s="3"/>
    </row>
  </sheetData>
  <mergeCells count="1">
    <mergeCell ref="A8:D8"/>
  </mergeCells>
  <hyperlinks>
    <hyperlink ref="B3" location="Update!A1" display="UpdateLoan Drawdown" xr:uid="{FD1222F3-C67F-473B-A2CF-97A3546F6CA5}"/>
    <hyperlink ref="B4" location="Cancel!A1" display="CancelLoanTransaction" xr:uid="{FDD9C49C-72A4-44CA-8D06-9E6F6159A8FA}"/>
    <hyperlink ref="B5" location="Delete!A1" display="DeleteLoanDrawdown" xr:uid="{0F7E5390-1965-4F2B-A5B5-0D93B4660AB9}"/>
    <hyperlink ref="B6" location="Search!A1" display="Search" xr:uid="{1F54A23E-8DFB-408A-BAB4-0E7EA654D3B3}"/>
    <hyperlink ref="B7" location="GetByID!A1" display="Get Loan Initial Drawdown by RID/OID" xr:uid="{D89211B5-AFE9-45D8-B053-6BA1249769F9}"/>
    <hyperlink ref="B2" location="Create!A1" display="CreateLoanDrawdown" xr:uid="{EA30EB59-6CB3-4C93-8962-71318CA15FB9}"/>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2DA901-E606-44B3-AB8F-672410ADC800}">
  <dimension ref="A1:D35"/>
  <sheetViews>
    <sheetView topLeftCell="A27" workbookViewId="0">
      <selection activeCell="C31" sqref="C31"/>
    </sheetView>
  </sheetViews>
  <sheetFormatPr defaultRowHeight="14.4" x14ac:dyDescent="0.3"/>
  <cols>
    <col min="1" max="1" width="7.88671875" bestFit="1" customWidth="1"/>
    <col min="2" max="2" width="14.44140625" bestFit="1" customWidth="1"/>
    <col min="3" max="3" width="82" bestFit="1" customWidth="1"/>
    <col min="4" max="4" width="18.88671875" style="78" bestFit="1" customWidth="1"/>
  </cols>
  <sheetData>
    <row r="1" spans="1:4" x14ac:dyDescent="0.3">
      <c r="A1" s="51" t="s">
        <v>14</v>
      </c>
      <c r="B1" s="51" t="s">
        <v>15</v>
      </c>
      <c r="C1" s="51" t="s">
        <v>16</v>
      </c>
      <c r="D1" s="128" t="s">
        <v>17</v>
      </c>
    </row>
    <row r="2" spans="1:4" x14ac:dyDescent="0.3">
      <c r="A2" s="52">
        <v>1</v>
      </c>
      <c r="B2" s="3" t="s">
        <v>18</v>
      </c>
      <c r="C2" s="3" t="s">
        <v>19</v>
      </c>
      <c r="D2" s="37"/>
    </row>
    <row r="3" spans="1:4" x14ac:dyDescent="0.3">
      <c r="A3" s="3">
        <v>1.1000000000000001</v>
      </c>
      <c r="B3" s="3" t="s">
        <v>18</v>
      </c>
      <c r="C3" s="3" t="s">
        <v>20</v>
      </c>
      <c r="D3" s="129">
        <v>45245</v>
      </c>
    </row>
    <row r="4" spans="1:4" x14ac:dyDescent="0.3">
      <c r="A4" s="3">
        <v>1.2</v>
      </c>
      <c r="B4" s="3" t="s">
        <v>18</v>
      </c>
      <c r="C4" s="4" t="s">
        <v>21</v>
      </c>
      <c r="D4" s="130">
        <v>45265</v>
      </c>
    </row>
    <row r="5" spans="1:4" x14ac:dyDescent="0.3">
      <c r="A5" s="3"/>
      <c r="B5" s="3"/>
      <c r="C5" s="27" t="s">
        <v>22</v>
      </c>
      <c r="D5" s="37"/>
    </row>
    <row r="6" spans="1:4" x14ac:dyDescent="0.3">
      <c r="A6" s="3"/>
      <c r="B6" s="3"/>
      <c r="C6" s="27" t="s">
        <v>23</v>
      </c>
      <c r="D6" s="37"/>
    </row>
    <row r="7" spans="1:4" ht="28.8" x14ac:dyDescent="0.3">
      <c r="A7" s="3"/>
      <c r="B7" s="3"/>
      <c r="C7" s="4" t="s">
        <v>24</v>
      </c>
      <c r="D7" s="37"/>
    </row>
    <row r="8" spans="1:4" x14ac:dyDescent="0.3">
      <c r="A8" s="3"/>
      <c r="B8" s="3"/>
      <c r="C8" s="4" t="s">
        <v>25</v>
      </c>
      <c r="D8" s="37"/>
    </row>
    <row r="9" spans="1:4" x14ac:dyDescent="0.3">
      <c r="A9" s="3"/>
      <c r="B9" s="3"/>
      <c r="C9" s="4" t="s">
        <v>26</v>
      </c>
      <c r="D9" s="37"/>
    </row>
    <row r="10" spans="1:4" x14ac:dyDescent="0.3">
      <c r="A10" s="3"/>
      <c r="B10" s="3"/>
      <c r="C10" s="4" t="s">
        <v>27</v>
      </c>
      <c r="D10" s="37"/>
    </row>
    <row r="11" spans="1:4" x14ac:dyDescent="0.3">
      <c r="A11" s="3"/>
      <c r="B11" s="3"/>
      <c r="C11" s="4" t="s">
        <v>28</v>
      </c>
      <c r="D11" s="37"/>
    </row>
    <row r="12" spans="1:4" ht="28.8" x14ac:dyDescent="0.3">
      <c r="A12" s="3"/>
      <c r="B12" s="3"/>
      <c r="C12" s="4" t="s">
        <v>29</v>
      </c>
      <c r="D12" s="37"/>
    </row>
    <row r="13" spans="1:4" ht="28.8" x14ac:dyDescent="0.3">
      <c r="A13" s="3"/>
      <c r="B13" s="3"/>
      <c r="C13" s="4" t="s">
        <v>30</v>
      </c>
      <c r="D13" s="37"/>
    </row>
    <row r="14" spans="1:4" ht="72" x14ac:dyDescent="0.3">
      <c r="A14" s="3"/>
      <c r="B14" s="3"/>
      <c r="C14" s="4" t="s">
        <v>31</v>
      </c>
      <c r="D14" s="37"/>
    </row>
    <row r="15" spans="1:4" x14ac:dyDescent="0.3">
      <c r="A15" s="76"/>
      <c r="C15" s="46" t="s">
        <v>32</v>
      </c>
      <c r="D15" s="131"/>
    </row>
    <row r="16" spans="1:4" x14ac:dyDescent="0.3">
      <c r="A16" s="77"/>
      <c r="C16" s="46" t="s">
        <v>33</v>
      </c>
      <c r="D16" s="127"/>
    </row>
    <row r="17" spans="1:4" ht="72" x14ac:dyDescent="0.3">
      <c r="A17" s="10">
        <v>1.3</v>
      </c>
      <c r="B17" s="10" t="s">
        <v>18</v>
      </c>
      <c r="C17" s="4" t="s">
        <v>34</v>
      </c>
      <c r="D17" s="132">
        <v>45267</v>
      </c>
    </row>
    <row r="18" spans="1:4" ht="28.8" x14ac:dyDescent="0.3">
      <c r="A18" s="186">
        <v>1.4</v>
      </c>
      <c r="B18" s="185" t="s">
        <v>35</v>
      </c>
      <c r="C18" s="74" t="s">
        <v>36</v>
      </c>
      <c r="D18" s="133">
        <v>45274</v>
      </c>
    </row>
    <row r="19" spans="1:4" x14ac:dyDescent="0.3">
      <c r="A19" s="187"/>
      <c r="B19" s="185"/>
      <c r="C19" s="45" t="s">
        <v>37</v>
      </c>
      <c r="D19" s="134">
        <f>D18</f>
        <v>45274</v>
      </c>
    </row>
    <row r="20" spans="1:4" x14ac:dyDescent="0.3">
      <c r="A20" s="187"/>
      <c r="B20" s="185"/>
      <c r="C20" s="45" t="s">
        <v>38</v>
      </c>
      <c r="D20" s="134">
        <f>D19</f>
        <v>45274</v>
      </c>
    </row>
    <row r="21" spans="1:4" x14ac:dyDescent="0.3">
      <c r="A21" s="188"/>
      <c r="B21" s="185"/>
      <c r="C21" s="19" t="s">
        <v>39</v>
      </c>
      <c r="D21" s="135">
        <f>D20</f>
        <v>45274</v>
      </c>
    </row>
    <row r="22" spans="1:4" ht="28.8" x14ac:dyDescent="0.3">
      <c r="A22" s="10">
        <v>1.5</v>
      </c>
      <c r="B22" s="186" t="str">
        <f>B18</f>
        <v>Akanksha</v>
      </c>
      <c r="C22" s="71" t="s">
        <v>40</v>
      </c>
      <c r="D22" s="129">
        <v>45280</v>
      </c>
    </row>
    <row r="23" spans="1:4" x14ac:dyDescent="0.3">
      <c r="A23" s="10">
        <v>1.6</v>
      </c>
      <c r="B23" s="187"/>
      <c r="C23" s="3" t="s">
        <v>41</v>
      </c>
      <c r="D23" s="129">
        <v>45299</v>
      </c>
    </row>
    <row r="24" spans="1:4" x14ac:dyDescent="0.3">
      <c r="A24" s="10">
        <v>1.7</v>
      </c>
      <c r="B24" s="187"/>
      <c r="C24" s="3" t="s">
        <v>42</v>
      </c>
      <c r="D24" s="129">
        <v>45310</v>
      </c>
    </row>
    <row r="25" spans="1:4" x14ac:dyDescent="0.3">
      <c r="A25" s="10">
        <v>1.8</v>
      </c>
      <c r="B25" s="187"/>
      <c r="C25" s="3" t="s">
        <v>43</v>
      </c>
      <c r="D25" s="129">
        <v>45331</v>
      </c>
    </row>
    <row r="26" spans="1:4" x14ac:dyDescent="0.3">
      <c r="A26" s="10">
        <v>1.9</v>
      </c>
      <c r="B26" s="187"/>
      <c r="C26" s="3" t="s">
        <v>44</v>
      </c>
      <c r="D26" s="129">
        <v>45335</v>
      </c>
    </row>
    <row r="27" spans="1:4" ht="129.6" x14ac:dyDescent="0.3">
      <c r="A27" s="82">
        <v>1.1000000000000001</v>
      </c>
      <c r="B27" s="188"/>
      <c r="C27" s="4" t="s">
        <v>45</v>
      </c>
      <c r="D27" s="136" t="s">
        <v>46</v>
      </c>
    </row>
    <row r="28" spans="1:4" ht="43.2" x14ac:dyDescent="0.3">
      <c r="A28" s="10">
        <v>1.1100000000000001</v>
      </c>
      <c r="B28" s="10" t="s">
        <v>35</v>
      </c>
      <c r="C28" s="4" t="s">
        <v>47</v>
      </c>
      <c r="D28" s="136">
        <v>45365</v>
      </c>
    </row>
    <row r="29" spans="1:4" x14ac:dyDescent="0.3">
      <c r="A29" s="10">
        <v>1.1200000000000001</v>
      </c>
      <c r="B29" s="36" t="s">
        <v>35</v>
      </c>
      <c r="C29" s="90" t="s">
        <v>48</v>
      </c>
      <c r="D29" s="136">
        <v>45399</v>
      </c>
    </row>
    <row r="30" spans="1:4" x14ac:dyDescent="0.3">
      <c r="A30" s="47">
        <v>1.1299999999999999</v>
      </c>
      <c r="B30" s="112" t="s">
        <v>35</v>
      </c>
      <c r="C30" s="75" t="s">
        <v>49</v>
      </c>
      <c r="D30" s="137">
        <v>45511</v>
      </c>
    </row>
    <row r="31" spans="1:4" ht="72" x14ac:dyDescent="0.3">
      <c r="A31" s="10">
        <v>1.1399999999999999</v>
      </c>
      <c r="B31" s="36" t="s">
        <v>35</v>
      </c>
      <c r="C31" s="4" t="s">
        <v>50</v>
      </c>
      <c r="D31" s="136">
        <v>45566</v>
      </c>
    </row>
    <row r="32" spans="1:4" s="20" customFormat="1" ht="28.8" x14ac:dyDescent="0.3">
      <c r="A32" s="10">
        <v>1.1499999999999999</v>
      </c>
      <c r="B32" s="10" t="s">
        <v>51</v>
      </c>
      <c r="C32" s="28" t="s">
        <v>52</v>
      </c>
      <c r="D32" s="151">
        <v>45861</v>
      </c>
    </row>
    <row r="33" spans="1:4" x14ac:dyDescent="0.3">
      <c r="A33" s="10">
        <v>1.1599999999999999</v>
      </c>
      <c r="B33" s="36" t="s">
        <v>51</v>
      </c>
      <c r="C33" s="3" t="s">
        <v>53</v>
      </c>
      <c r="D33" s="129">
        <v>46007</v>
      </c>
    </row>
    <row r="34" spans="1:4" x14ac:dyDescent="0.3">
      <c r="A34" s="10">
        <v>1.17</v>
      </c>
      <c r="B34" s="36" t="s">
        <v>51</v>
      </c>
      <c r="C34" s="3" t="s">
        <v>54</v>
      </c>
      <c r="D34" s="129">
        <v>46041</v>
      </c>
    </row>
    <row r="35" spans="1:4" x14ac:dyDescent="0.3">
      <c r="A35" s="228">
        <v>1.18</v>
      </c>
      <c r="B35" s="36" t="s">
        <v>51</v>
      </c>
      <c r="C35" s="1" t="s">
        <v>683</v>
      </c>
      <c r="D35" s="129">
        <v>46251</v>
      </c>
    </row>
  </sheetData>
  <mergeCells count="3">
    <mergeCell ref="B18:B21"/>
    <mergeCell ref="A18:A21"/>
    <mergeCell ref="B22:B27"/>
  </mergeCells>
  <hyperlinks>
    <hyperlink ref="C29" r:id="rId1" display="(LIQ-149111)" xr:uid="{15E4A1F5-BCAA-4E21-900C-DF8FB127A6BE}"/>
  </hyperlinks>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063CE3-EDCD-488D-BE3E-77D3446AF8AE}">
  <sheetPr codeName="Sheet1"/>
  <dimension ref="A1:T268"/>
  <sheetViews>
    <sheetView topLeftCell="A7" zoomScale="80" zoomScaleNormal="80" workbookViewId="0">
      <selection activeCell="G17" sqref="G17"/>
    </sheetView>
  </sheetViews>
  <sheetFormatPr defaultRowHeight="15" customHeight="1" x14ac:dyDescent="0.3"/>
  <cols>
    <col min="1" max="1" width="17.33203125" style="20" customWidth="1"/>
    <col min="2" max="2" width="40.109375" style="21" bestFit="1" customWidth="1"/>
    <col min="3" max="3" width="20" style="21" bestFit="1" customWidth="1"/>
    <col min="4" max="4" width="9.109375" style="21" bestFit="1" customWidth="1"/>
    <col min="5" max="5" width="33.88671875" style="34" customWidth="1"/>
    <col min="6" max="6" width="33.88671875" customWidth="1"/>
    <col min="7" max="7" width="20" customWidth="1"/>
    <col min="8" max="8" width="14" style="16" customWidth="1"/>
    <col min="9" max="9" width="74.5546875" bestFit="1" customWidth="1"/>
    <col min="10" max="10" width="74.5546875" customWidth="1"/>
    <col min="11" max="11" width="14.33203125" bestFit="1" customWidth="1"/>
    <col min="12" max="12" width="16.33203125" bestFit="1" customWidth="1"/>
    <col min="13" max="13" width="25.33203125" bestFit="1" customWidth="1"/>
    <col min="14" max="14" width="31.6640625" bestFit="1" customWidth="1"/>
    <col min="15" max="15" width="47.6640625" bestFit="1" customWidth="1"/>
    <col min="16" max="16" width="34.88671875" bestFit="1" customWidth="1"/>
    <col min="17" max="17" width="20" bestFit="1" customWidth="1"/>
    <col min="18" max="18" width="9.88671875" style="36" bestFit="1" customWidth="1"/>
    <col min="19" max="19" width="27.33203125" bestFit="1" customWidth="1"/>
  </cols>
  <sheetData>
    <row r="1" spans="1:20" ht="18" x14ac:dyDescent="0.35">
      <c r="A1" s="166" t="s">
        <v>55</v>
      </c>
      <c r="B1" s="166"/>
      <c r="C1" s="166"/>
      <c r="D1" s="166"/>
      <c r="E1" s="166"/>
      <c r="F1" s="166"/>
      <c r="G1" s="166"/>
      <c r="H1" s="166"/>
      <c r="I1" s="166"/>
      <c r="J1" s="166"/>
      <c r="K1" s="166"/>
      <c r="L1" s="166"/>
      <c r="M1" s="166"/>
      <c r="N1" s="166"/>
      <c r="O1" s="166"/>
      <c r="P1" s="83"/>
    </row>
    <row r="2" spans="1:20" ht="14.4" x14ac:dyDescent="0.3">
      <c r="A2" s="168" t="s">
        <v>56</v>
      </c>
      <c r="B2" s="168"/>
      <c r="C2" s="168"/>
      <c r="D2" s="168"/>
      <c r="E2" s="168"/>
      <c r="F2" s="168"/>
      <c r="G2" s="168"/>
      <c r="H2" s="168"/>
      <c r="I2" s="168"/>
      <c r="J2" s="168"/>
      <c r="K2" s="168"/>
      <c r="L2" s="168"/>
      <c r="M2" s="168"/>
      <c r="N2" s="168"/>
      <c r="O2" s="168"/>
      <c r="P2" s="84"/>
    </row>
    <row r="3" spans="1:20" ht="14.4" x14ac:dyDescent="0.3">
      <c r="A3" s="165" t="s">
        <v>57</v>
      </c>
      <c r="B3" s="165"/>
      <c r="C3" s="165"/>
      <c r="D3" s="165"/>
      <c r="E3" s="165"/>
      <c r="F3" s="165"/>
      <c r="G3" s="165"/>
      <c r="H3" s="165"/>
      <c r="I3" s="165"/>
      <c r="J3" s="165"/>
      <c r="K3" s="165"/>
      <c r="L3" s="165"/>
      <c r="M3" s="165"/>
      <c r="N3" s="165"/>
      <c r="O3" s="165"/>
    </row>
    <row r="4" spans="1:20" ht="14.4" x14ac:dyDescent="0.3">
      <c r="A4" s="169" t="s">
        <v>58</v>
      </c>
      <c r="B4" s="169"/>
      <c r="C4" s="169"/>
      <c r="D4" s="169"/>
      <c r="E4" s="169"/>
      <c r="F4" s="169"/>
      <c r="G4" s="169"/>
      <c r="H4" s="169"/>
      <c r="I4" s="169"/>
      <c r="J4" s="169"/>
      <c r="K4" s="169"/>
      <c r="L4" s="169"/>
      <c r="M4" s="169"/>
      <c r="N4" s="169"/>
      <c r="O4" s="169"/>
      <c r="P4" s="34"/>
    </row>
    <row r="5" spans="1:20" ht="14.4" x14ac:dyDescent="0.3">
      <c r="A5" s="1"/>
      <c r="B5" s="2"/>
      <c r="C5" s="2"/>
      <c r="D5" s="2"/>
      <c r="E5" s="48"/>
      <c r="F5" s="3"/>
      <c r="G5" s="3"/>
      <c r="H5" s="4"/>
      <c r="I5" s="3"/>
      <c r="J5" s="3"/>
      <c r="K5" s="3"/>
      <c r="L5" s="3"/>
      <c r="M5" s="3"/>
      <c r="N5" s="3"/>
      <c r="O5" s="3"/>
    </row>
    <row r="6" spans="1:20" ht="18" x14ac:dyDescent="0.35">
      <c r="A6" s="166" t="s">
        <v>59</v>
      </c>
      <c r="B6" s="166"/>
      <c r="C6" s="166"/>
      <c r="D6" s="166"/>
      <c r="E6" s="166"/>
      <c r="F6" s="166"/>
      <c r="G6" s="166"/>
      <c r="H6" s="166"/>
      <c r="I6" s="166"/>
      <c r="J6" s="166"/>
      <c r="K6" s="166"/>
      <c r="L6" s="166"/>
      <c r="M6" s="166"/>
      <c r="N6" s="166"/>
      <c r="O6" s="166"/>
      <c r="P6" s="83"/>
    </row>
    <row r="7" spans="1:20" s="8" customFormat="1" ht="57.6" x14ac:dyDescent="0.3">
      <c r="A7" s="5" t="s">
        <v>60</v>
      </c>
      <c r="B7" s="5" t="s">
        <v>61</v>
      </c>
      <c r="C7" s="5" t="s">
        <v>62</v>
      </c>
      <c r="D7" s="5" t="s">
        <v>63</v>
      </c>
      <c r="E7" s="5" t="s">
        <v>64</v>
      </c>
      <c r="F7" s="29" t="s">
        <v>65</v>
      </c>
      <c r="G7" s="5" t="s">
        <v>66</v>
      </c>
      <c r="H7" s="5" t="s">
        <v>67</v>
      </c>
      <c r="I7" s="5" t="s">
        <v>68</v>
      </c>
      <c r="J7" s="5" t="s">
        <v>69</v>
      </c>
      <c r="K7" s="5" t="s">
        <v>70</v>
      </c>
      <c r="L7" s="5" t="s">
        <v>71</v>
      </c>
      <c r="M7" s="5" t="s">
        <v>72</v>
      </c>
      <c r="N7" s="5" t="s">
        <v>73</v>
      </c>
      <c r="O7" s="6" t="s">
        <v>74</v>
      </c>
      <c r="P7" s="7" t="s">
        <v>75</v>
      </c>
      <c r="Q7" s="152" t="s">
        <v>76</v>
      </c>
      <c r="R7" s="7" t="s">
        <v>77</v>
      </c>
      <c r="S7" s="154" t="s">
        <v>78</v>
      </c>
      <c r="T7" s="101" t="s">
        <v>79</v>
      </c>
    </row>
    <row r="8" spans="1:20" ht="57.6" x14ac:dyDescent="0.3">
      <c r="A8" s="9">
        <v>1</v>
      </c>
      <c r="B8" s="3"/>
      <c r="C8" s="10"/>
      <c r="D8" s="10"/>
      <c r="E8" s="103"/>
      <c r="F8" s="34" t="s">
        <v>80</v>
      </c>
      <c r="G8" s="11" t="s">
        <v>81</v>
      </c>
      <c r="H8" s="65" t="s">
        <v>82</v>
      </c>
      <c r="I8" s="11" t="s">
        <v>83</v>
      </c>
      <c r="J8" s="163" t="s">
        <v>84</v>
      </c>
      <c r="K8" s="11"/>
      <c r="L8" s="9" t="s">
        <v>85</v>
      </c>
      <c r="M8" s="9" t="s">
        <v>85</v>
      </c>
      <c r="N8" s="11"/>
      <c r="O8" s="12"/>
      <c r="P8" s="4" t="s">
        <v>86</v>
      </c>
      <c r="Q8" s="4" t="s">
        <v>87</v>
      </c>
      <c r="R8" s="159" t="s">
        <v>82</v>
      </c>
      <c r="S8" s="66" t="s">
        <v>82</v>
      </c>
    </row>
    <row r="9" spans="1:20" ht="28.8" x14ac:dyDescent="0.3">
      <c r="A9" s="9">
        <v>2</v>
      </c>
      <c r="B9" s="14"/>
      <c r="C9" s="10"/>
      <c r="D9" s="10"/>
      <c r="E9" s="10"/>
      <c r="F9" s="27" t="s">
        <v>88</v>
      </c>
      <c r="G9" s="11" t="s">
        <v>17</v>
      </c>
      <c r="H9" s="65" t="s">
        <v>82</v>
      </c>
      <c r="I9" s="11" t="s">
        <v>89</v>
      </c>
      <c r="J9" s="11" t="s">
        <v>89</v>
      </c>
      <c r="K9" s="11"/>
      <c r="L9" s="9" t="s">
        <v>85</v>
      </c>
      <c r="M9" s="9" t="s">
        <v>85</v>
      </c>
      <c r="N9" s="11"/>
      <c r="O9" s="12"/>
      <c r="P9" s="4" t="s">
        <v>86</v>
      </c>
      <c r="Q9" s="4" t="s">
        <v>87</v>
      </c>
      <c r="R9" s="50" t="s">
        <v>82</v>
      </c>
      <c r="S9" s="66" t="s">
        <v>82</v>
      </c>
    </row>
    <row r="10" spans="1:20" ht="43.2" x14ac:dyDescent="0.3">
      <c r="A10" s="9">
        <v>3</v>
      </c>
      <c r="B10" s="14"/>
      <c r="C10" s="10"/>
      <c r="D10" s="10"/>
      <c r="E10" s="10"/>
      <c r="F10" s="27" t="s">
        <v>90</v>
      </c>
      <c r="G10" s="11" t="s">
        <v>17</v>
      </c>
      <c r="H10" s="13" t="s">
        <v>85</v>
      </c>
      <c r="I10" s="11" t="s">
        <v>91</v>
      </c>
      <c r="J10" s="161" t="s">
        <v>92</v>
      </c>
      <c r="K10" s="11"/>
      <c r="L10" s="94" t="s">
        <v>85</v>
      </c>
      <c r="M10" s="11"/>
      <c r="N10" s="11"/>
      <c r="O10" s="12"/>
      <c r="P10" s="4" t="s">
        <v>86</v>
      </c>
      <c r="Q10" s="4" t="s">
        <v>87</v>
      </c>
      <c r="R10" s="50" t="s">
        <v>82</v>
      </c>
      <c r="S10" s="3"/>
    </row>
    <row r="11" spans="1:20" ht="28.8" x14ac:dyDescent="0.3">
      <c r="A11" s="9">
        <v>4</v>
      </c>
      <c r="B11" s="3" t="s">
        <v>93</v>
      </c>
      <c r="C11" s="48"/>
      <c r="D11" s="10" t="s">
        <v>82</v>
      </c>
      <c r="E11" s="3"/>
      <c r="F11" s="48" t="s">
        <v>94</v>
      </c>
      <c r="G11" s="3" t="s">
        <v>95</v>
      </c>
      <c r="H11" s="173" t="s">
        <v>82</v>
      </c>
      <c r="I11" s="32" t="s">
        <v>96</v>
      </c>
      <c r="J11" s="32" t="s">
        <v>96</v>
      </c>
      <c r="K11" s="3"/>
      <c r="L11" s="36" t="s">
        <v>85</v>
      </c>
      <c r="M11" s="3"/>
      <c r="N11" s="3"/>
      <c r="O11" s="3"/>
      <c r="P11" s="4" t="s">
        <v>86</v>
      </c>
      <c r="Q11" s="4" t="s">
        <v>87</v>
      </c>
      <c r="R11" s="41" t="s">
        <v>85</v>
      </c>
      <c r="S11" s="164" t="s">
        <v>82</v>
      </c>
    </row>
    <row r="12" spans="1:20" ht="14.4" x14ac:dyDescent="0.3">
      <c r="A12" s="9">
        <v>5</v>
      </c>
      <c r="B12" s="3" t="s">
        <v>93</v>
      </c>
      <c r="C12" s="48"/>
      <c r="D12" s="10" t="s">
        <v>82</v>
      </c>
      <c r="E12" s="3"/>
      <c r="F12" s="48" t="s">
        <v>97</v>
      </c>
      <c r="G12" s="3" t="s">
        <v>98</v>
      </c>
      <c r="H12" s="174"/>
      <c r="I12" s="93" t="s">
        <v>99</v>
      </c>
      <c r="J12" s="93" t="s">
        <v>99</v>
      </c>
      <c r="K12" s="3"/>
      <c r="L12" s="36" t="s">
        <v>85</v>
      </c>
      <c r="M12" s="3"/>
      <c r="N12" s="3"/>
      <c r="O12" s="3"/>
      <c r="P12" s="4" t="s">
        <v>86</v>
      </c>
      <c r="Q12" s="4" t="s">
        <v>87</v>
      </c>
      <c r="R12" s="41" t="s">
        <v>85</v>
      </c>
      <c r="S12" s="164"/>
    </row>
    <row r="13" spans="1:20" ht="14.4" x14ac:dyDescent="0.3">
      <c r="A13" s="9">
        <v>6</v>
      </c>
      <c r="B13" s="92"/>
      <c r="C13" s="10"/>
      <c r="D13" s="10"/>
      <c r="E13" s="10"/>
      <c r="F13" s="27" t="s">
        <v>100</v>
      </c>
      <c r="G13" s="11" t="s">
        <v>101</v>
      </c>
      <c r="H13" s="65" t="s">
        <v>82</v>
      </c>
      <c r="I13" s="32" t="s">
        <v>102</v>
      </c>
      <c r="J13" s="32" t="s">
        <v>102</v>
      </c>
      <c r="K13" s="11"/>
      <c r="L13" s="9" t="s">
        <v>85</v>
      </c>
      <c r="M13" s="9" t="s">
        <v>82</v>
      </c>
      <c r="N13" s="11"/>
      <c r="O13" s="12" t="s">
        <v>103</v>
      </c>
      <c r="P13" s="4" t="s">
        <v>86</v>
      </c>
      <c r="Q13" s="4" t="s">
        <v>87</v>
      </c>
      <c r="R13" s="50" t="s">
        <v>82</v>
      </c>
      <c r="S13" s="66" t="s">
        <v>82</v>
      </c>
    </row>
    <row r="14" spans="1:20" ht="14.4" x14ac:dyDescent="0.3">
      <c r="A14" s="9">
        <v>7</v>
      </c>
      <c r="B14" s="14"/>
      <c r="C14" s="10"/>
      <c r="D14" s="10"/>
      <c r="E14" s="10"/>
      <c r="F14" s="27" t="s">
        <v>104</v>
      </c>
      <c r="G14" s="11" t="s">
        <v>101</v>
      </c>
      <c r="H14" s="65" t="s">
        <v>82</v>
      </c>
      <c r="I14" s="15" t="s">
        <v>105</v>
      </c>
      <c r="J14" s="15" t="s">
        <v>105</v>
      </c>
      <c r="K14" s="15"/>
      <c r="L14" s="9" t="s">
        <v>85</v>
      </c>
      <c r="M14" s="9" t="s">
        <v>82</v>
      </c>
      <c r="N14" s="15" t="s">
        <v>106</v>
      </c>
      <c r="O14" s="12" t="s">
        <v>107</v>
      </c>
      <c r="P14" s="4" t="s">
        <v>86</v>
      </c>
      <c r="Q14" s="4" t="s">
        <v>87</v>
      </c>
      <c r="R14" s="50" t="s">
        <v>82</v>
      </c>
      <c r="S14" s="66" t="s">
        <v>82</v>
      </c>
    </row>
    <row r="15" spans="1:20" ht="187.2" x14ac:dyDescent="0.3">
      <c r="A15" s="9">
        <v>8</v>
      </c>
      <c r="B15" s="27" t="s">
        <v>108</v>
      </c>
      <c r="C15" s="95"/>
      <c r="D15" s="10" t="s">
        <v>82</v>
      </c>
      <c r="E15" s="95"/>
      <c r="F15" s="27" t="s">
        <v>109</v>
      </c>
      <c r="G15" s="99" t="s">
        <v>95</v>
      </c>
      <c r="H15" s="177" t="s">
        <v>85</v>
      </c>
      <c r="I15" s="11" t="s">
        <v>110</v>
      </c>
      <c r="J15" s="11" t="s">
        <v>110</v>
      </c>
      <c r="K15" s="11"/>
      <c r="L15" s="11"/>
      <c r="M15" s="11"/>
      <c r="N15" s="11"/>
      <c r="O15" s="12"/>
      <c r="P15" s="4" t="s">
        <v>86</v>
      </c>
      <c r="Q15" s="4" t="s">
        <v>87</v>
      </c>
      <c r="R15" s="157" t="s">
        <v>82</v>
      </c>
      <c r="S15" s="66" t="s">
        <v>82</v>
      </c>
    </row>
    <row r="16" spans="1:20" ht="14.4" x14ac:dyDescent="0.3">
      <c r="A16" s="9">
        <v>9</v>
      </c>
      <c r="B16" s="27" t="s">
        <v>108</v>
      </c>
      <c r="C16" s="95"/>
      <c r="D16" s="10" t="s">
        <v>82</v>
      </c>
      <c r="E16" s="95"/>
      <c r="F16" s="27" t="s">
        <v>111</v>
      </c>
      <c r="G16" s="12" t="s">
        <v>112</v>
      </c>
      <c r="H16" s="178"/>
      <c r="I16" s="93" t="s">
        <v>113</v>
      </c>
      <c r="J16" s="93" t="s">
        <v>113</v>
      </c>
      <c r="K16" s="11"/>
      <c r="L16" s="11"/>
      <c r="M16" s="11"/>
      <c r="N16" s="11"/>
      <c r="O16" s="12"/>
      <c r="P16" s="4"/>
      <c r="Q16" s="62"/>
      <c r="R16" s="13" t="s">
        <v>85</v>
      </c>
      <c r="S16" s="155"/>
    </row>
    <row r="17" spans="1:19" ht="86.4" x14ac:dyDescent="0.3">
      <c r="A17" s="9">
        <v>10</v>
      </c>
      <c r="B17" s="14" t="s">
        <v>114</v>
      </c>
      <c r="C17" s="27"/>
      <c r="D17" s="10" t="s">
        <v>82</v>
      </c>
      <c r="E17" s="10"/>
      <c r="F17" s="27" t="s">
        <v>109</v>
      </c>
      <c r="G17" s="3" t="s">
        <v>95</v>
      </c>
      <c r="H17" s="175" t="s">
        <v>82</v>
      </c>
      <c r="I17" s="32" t="s">
        <v>115</v>
      </c>
      <c r="J17" s="32" t="s">
        <v>115</v>
      </c>
      <c r="K17" s="11"/>
      <c r="L17" s="9" t="s">
        <v>85</v>
      </c>
      <c r="M17" s="9" t="s">
        <v>82</v>
      </c>
      <c r="N17" s="11" t="s">
        <v>116</v>
      </c>
      <c r="O17" s="12"/>
      <c r="P17" s="4" t="s">
        <v>86</v>
      </c>
      <c r="Q17" s="4" t="s">
        <v>87</v>
      </c>
      <c r="R17" s="160" t="s">
        <v>82</v>
      </c>
      <c r="S17" s="66" t="s">
        <v>82</v>
      </c>
    </row>
    <row r="18" spans="1:19" ht="14.4" x14ac:dyDescent="0.3">
      <c r="A18" s="9">
        <v>11</v>
      </c>
      <c r="B18" s="14" t="s">
        <v>114</v>
      </c>
      <c r="C18" s="27"/>
      <c r="D18" s="10" t="s">
        <v>82</v>
      </c>
      <c r="E18" s="10"/>
      <c r="F18" s="27" t="s">
        <v>111</v>
      </c>
      <c r="G18" s="12" t="s">
        <v>112</v>
      </c>
      <c r="H18" s="176"/>
      <c r="I18" s="93" t="s">
        <v>117</v>
      </c>
      <c r="J18" s="93" t="s">
        <v>117</v>
      </c>
      <c r="K18" s="11"/>
      <c r="L18" s="9"/>
      <c r="M18" s="9"/>
      <c r="N18" s="11"/>
      <c r="O18" s="12"/>
      <c r="P18" s="4"/>
      <c r="Q18" s="62"/>
      <c r="R18" s="13" t="s">
        <v>85</v>
      </c>
      <c r="S18" s="155"/>
    </row>
    <row r="19" spans="1:19" ht="24" x14ac:dyDescent="0.3">
      <c r="A19" s="9">
        <v>12</v>
      </c>
      <c r="B19" s="14"/>
      <c r="C19" s="10"/>
      <c r="D19" s="10"/>
      <c r="E19" s="10"/>
      <c r="F19" s="27" t="s">
        <v>118</v>
      </c>
      <c r="G19" s="11" t="s">
        <v>101</v>
      </c>
      <c r="H19" s="65" t="s">
        <v>82</v>
      </c>
      <c r="I19" s="15" t="s">
        <v>119</v>
      </c>
      <c r="J19" s="123" t="s">
        <v>120</v>
      </c>
      <c r="K19" s="15"/>
      <c r="L19" s="9" t="s">
        <v>85</v>
      </c>
      <c r="M19" s="9" t="s">
        <v>82</v>
      </c>
      <c r="N19" s="15"/>
      <c r="O19" s="12" t="s">
        <v>121</v>
      </c>
      <c r="P19" s="4" t="s">
        <v>86</v>
      </c>
      <c r="Q19" s="4" t="s">
        <v>87</v>
      </c>
      <c r="R19" s="159" t="s">
        <v>82</v>
      </c>
      <c r="S19" s="66" t="s">
        <v>82</v>
      </c>
    </row>
    <row r="20" spans="1:19" ht="43.2" x14ac:dyDescent="0.3">
      <c r="A20" s="9">
        <v>13</v>
      </c>
      <c r="B20" s="11"/>
      <c r="C20" s="10"/>
      <c r="D20" s="10"/>
      <c r="E20" s="10"/>
      <c r="F20" s="27" t="s">
        <v>122</v>
      </c>
      <c r="G20" s="11" t="s">
        <v>81</v>
      </c>
      <c r="H20" s="13" t="s">
        <v>85</v>
      </c>
      <c r="I20" s="11" t="s">
        <v>123</v>
      </c>
      <c r="J20" s="123" t="s">
        <v>120</v>
      </c>
      <c r="K20" s="11"/>
      <c r="L20" s="9" t="s">
        <v>85</v>
      </c>
      <c r="M20" s="11"/>
      <c r="N20" s="11"/>
      <c r="O20" s="12"/>
      <c r="P20" s="4" t="s">
        <v>86</v>
      </c>
      <c r="Q20" s="4" t="s">
        <v>87</v>
      </c>
      <c r="R20" s="50" t="s">
        <v>82</v>
      </c>
      <c r="S20" s="66" t="s">
        <v>82</v>
      </c>
    </row>
    <row r="21" spans="1:19" ht="57.6" x14ac:dyDescent="0.3">
      <c r="A21" s="9">
        <v>14</v>
      </c>
      <c r="B21" s="11"/>
      <c r="C21" s="10"/>
      <c r="D21" s="10"/>
      <c r="E21" s="10"/>
      <c r="F21" s="73" t="s">
        <v>124</v>
      </c>
      <c r="G21" s="74" t="s">
        <v>125</v>
      </c>
      <c r="H21" s="113" t="s">
        <v>85</v>
      </c>
      <c r="I21" s="4" t="s">
        <v>126</v>
      </c>
      <c r="J21" s="123" t="s">
        <v>120</v>
      </c>
      <c r="K21" s="11"/>
      <c r="L21" s="9"/>
      <c r="M21" s="11"/>
      <c r="N21" s="11"/>
      <c r="O21" s="12"/>
      <c r="P21" s="4"/>
      <c r="Q21" s="4"/>
      <c r="R21" s="50" t="s">
        <v>82</v>
      </c>
      <c r="S21" s="66"/>
    </row>
    <row r="22" spans="1:19" ht="43.2" x14ac:dyDescent="0.3">
      <c r="A22" s="9">
        <v>15</v>
      </c>
      <c r="B22" s="11"/>
      <c r="C22" s="10"/>
      <c r="D22" s="10"/>
      <c r="E22" s="10"/>
      <c r="F22" s="28" t="s">
        <v>127</v>
      </c>
      <c r="G22" s="74" t="s">
        <v>125</v>
      </c>
      <c r="H22" s="113" t="s">
        <v>85</v>
      </c>
      <c r="I22" s="4" t="s">
        <v>128</v>
      </c>
      <c r="J22" s="123" t="s">
        <v>120</v>
      </c>
      <c r="K22" s="11"/>
      <c r="L22" s="9"/>
      <c r="M22" s="11"/>
      <c r="N22" s="11"/>
      <c r="O22" s="12"/>
      <c r="P22" s="4"/>
      <c r="Q22" s="4"/>
      <c r="R22" s="50" t="s">
        <v>82</v>
      </c>
      <c r="S22" s="66"/>
    </row>
    <row r="23" spans="1:19" ht="86.4" x14ac:dyDescent="0.3">
      <c r="A23" s="9">
        <v>16</v>
      </c>
      <c r="B23" s="14"/>
      <c r="C23" s="10"/>
      <c r="D23" s="10"/>
      <c r="E23" s="10"/>
      <c r="F23" s="27" t="s">
        <v>129</v>
      </c>
      <c r="G23" s="11" t="s">
        <v>125</v>
      </c>
      <c r="H23" s="13" t="s">
        <v>85</v>
      </c>
      <c r="I23" s="11"/>
      <c r="J23" s="161" t="s">
        <v>130</v>
      </c>
      <c r="K23" s="11"/>
      <c r="L23" s="11"/>
      <c r="M23" s="11"/>
      <c r="N23" s="11"/>
      <c r="O23" s="12"/>
      <c r="P23" s="4" t="s">
        <v>86</v>
      </c>
      <c r="Q23" s="4" t="s">
        <v>87</v>
      </c>
      <c r="R23" s="50" t="s">
        <v>82</v>
      </c>
      <c r="S23" s="3"/>
    </row>
    <row r="24" spans="1:19" ht="33" customHeight="1" x14ac:dyDescent="0.3">
      <c r="A24" s="9">
        <v>17</v>
      </c>
      <c r="B24" s="14"/>
      <c r="C24" s="10"/>
      <c r="D24" s="10"/>
      <c r="E24" s="10"/>
      <c r="F24" s="27" t="s">
        <v>131</v>
      </c>
      <c r="G24" s="11" t="s">
        <v>101</v>
      </c>
      <c r="H24" s="13" t="s">
        <v>85</v>
      </c>
      <c r="I24" s="15" t="s">
        <v>132</v>
      </c>
      <c r="J24" s="15" t="s">
        <v>133</v>
      </c>
      <c r="K24" s="15"/>
      <c r="L24" s="11"/>
      <c r="M24" s="9" t="s">
        <v>82</v>
      </c>
      <c r="N24" s="15"/>
      <c r="O24" s="12" t="s">
        <v>134</v>
      </c>
      <c r="P24" s="4" t="s">
        <v>86</v>
      </c>
      <c r="Q24" s="4" t="s">
        <v>87</v>
      </c>
      <c r="R24" s="50" t="s">
        <v>82</v>
      </c>
      <c r="S24" s="3" t="s">
        <v>135</v>
      </c>
    </row>
    <row r="25" spans="1:19" ht="36" x14ac:dyDescent="0.3">
      <c r="A25" s="9">
        <v>18</v>
      </c>
      <c r="B25" s="14"/>
      <c r="C25" s="10"/>
      <c r="D25" s="10"/>
      <c r="E25" s="10"/>
      <c r="F25" s="27" t="s">
        <v>136</v>
      </c>
      <c r="G25" s="11" t="s">
        <v>17</v>
      </c>
      <c r="H25" s="13" t="s">
        <v>85</v>
      </c>
      <c r="I25" s="15" t="s">
        <v>137</v>
      </c>
      <c r="J25" s="15" t="s">
        <v>137</v>
      </c>
      <c r="K25" s="15"/>
      <c r="L25" s="11"/>
      <c r="M25" s="11"/>
      <c r="N25" s="11"/>
      <c r="O25" s="12"/>
      <c r="P25" s="4" t="s">
        <v>86</v>
      </c>
      <c r="Q25" s="4" t="s">
        <v>87</v>
      </c>
      <c r="R25" s="50" t="s">
        <v>82</v>
      </c>
      <c r="S25" s="66" t="s">
        <v>82</v>
      </c>
    </row>
    <row r="26" spans="1:19" ht="168" x14ac:dyDescent="0.3">
      <c r="A26" s="9">
        <v>19</v>
      </c>
      <c r="B26" s="14"/>
      <c r="C26" s="10"/>
      <c r="D26" s="10"/>
      <c r="E26" s="10"/>
      <c r="F26" s="27" t="s">
        <v>138</v>
      </c>
      <c r="G26" s="11" t="s">
        <v>17</v>
      </c>
      <c r="H26" s="13" t="s">
        <v>85</v>
      </c>
      <c r="I26" s="15" t="s">
        <v>139</v>
      </c>
      <c r="J26" s="15" t="s">
        <v>139</v>
      </c>
      <c r="K26" s="15" t="s">
        <v>140</v>
      </c>
      <c r="L26" s="11"/>
      <c r="M26" s="11"/>
      <c r="N26" s="11"/>
      <c r="O26" s="12"/>
      <c r="P26" s="4" t="s">
        <v>86</v>
      </c>
      <c r="Q26" s="4" t="s">
        <v>87</v>
      </c>
      <c r="R26" s="50" t="s">
        <v>82</v>
      </c>
      <c r="S26" s="66" t="s">
        <v>82</v>
      </c>
    </row>
    <row r="27" spans="1:19" ht="36" x14ac:dyDescent="0.3">
      <c r="A27" s="9">
        <v>20</v>
      </c>
      <c r="B27" s="14"/>
      <c r="C27" s="10"/>
      <c r="D27" s="10"/>
      <c r="E27" s="10"/>
      <c r="F27" s="27" t="s">
        <v>141</v>
      </c>
      <c r="G27" s="11" t="s">
        <v>101</v>
      </c>
      <c r="H27" s="13" t="s">
        <v>85</v>
      </c>
      <c r="I27" s="15" t="s">
        <v>142</v>
      </c>
      <c r="J27" s="15" t="s">
        <v>142</v>
      </c>
      <c r="K27" s="15"/>
      <c r="L27" s="11"/>
      <c r="M27" s="9" t="s">
        <v>82</v>
      </c>
      <c r="N27" s="15"/>
      <c r="O27" s="12" t="s">
        <v>143</v>
      </c>
      <c r="P27" s="4" t="s">
        <v>86</v>
      </c>
      <c r="Q27" s="4" t="s">
        <v>87</v>
      </c>
      <c r="R27" s="50" t="s">
        <v>82</v>
      </c>
      <c r="S27" s="3"/>
    </row>
    <row r="28" spans="1:19" ht="100.8" x14ac:dyDescent="0.3">
      <c r="A28" s="9">
        <v>21</v>
      </c>
      <c r="B28" s="14"/>
      <c r="C28" s="10"/>
      <c r="D28" s="10"/>
      <c r="E28" s="10"/>
      <c r="F28" s="27" t="s">
        <v>144</v>
      </c>
      <c r="G28" s="11" t="s">
        <v>101</v>
      </c>
      <c r="H28" s="13" t="s">
        <v>85</v>
      </c>
      <c r="I28" s="11" t="s">
        <v>145</v>
      </c>
      <c r="J28" s="11" t="s">
        <v>145</v>
      </c>
      <c r="K28" s="11"/>
      <c r="L28" s="11"/>
      <c r="M28" s="9" t="s">
        <v>82</v>
      </c>
      <c r="N28" s="15"/>
      <c r="O28" s="12" t="s">
        <v>146</v>
      </c>
      <c r="P28" s="4" t="s">
        <v>86</v>
      </c>
      <c r="Q28" s="4" t="s">
        <v>87</v>
      </c>
      <c r="R28" s="50" t="s">
        <v>82</v>
      </c>
      <c r="S28" s="66" t="s">
        <v>82</v>
      </c>
    </row>
    <row r="29" spans="1:19" ht="168" x14ac:dyDescent="0.3">
      <c r="A29" s="9">
        <v>22</v>
      </c>
      <c r="B29" s="14"/>
      <c r="C29" s="10"/>
      <c r="D29" s="10"/>
      <c r="E29" s="10"/>
      <c r="F29" s="27" t="s">
        <v>147</v>
      </c>
      <c r="G29" s="11" t="s">
        <v>148</v>
      </c>
      <c r="H29" s="13" t="s">
        <v>85</v>
      </c>
      <c r="I29" s="15" t="s">
        <v>149</v>
      </c>
      <c r="J29" s="123" t="s">
        <v>150</v>
      </c>
      <c r="K29" s="15"/>
      <c r="L29" s="11"/>
      <c r="M29" s="11"/>
      <c r="N29" s="11"/>
      <c r="O29" s="12"/>
      <c r="P29" s="4" t="s">
        <v>86</v>
      </c>
      <c r="Q29" s="4" t="s">
        <v>87</v>
      </c>
      <c r="R29" s="50" t="s">
        <v>82</v>
      </c>
      <c r="S29" s="66" t="s">
        <v>82</v>
      </c>
    </row>
    <row r="30" spans="1:19" ht="36" x14ac:dyDescent="0.3">
      <c r="A30" s="9">
        <v>23</v>
      </c>
      <c r="B30" s="14"/>
      <c r="C30" s="10"/>
      <c r="D30" s="10"/>
      <c r="E30" s="10"/>
      <c r="F30" s="27" t="s">
        <v>151</v>
      </c>
      <c r="G30" s="11" t="s">
        <v>152</v>
      </c>
      <c r="H30" s="13" t="s">
        <v>85</v>
      </c>
      <c r="I30" s="15" t="s">
        <v>153</v>
      </c>
      <c r="J30" s="15" t="s">
        <v>153</v>
      </c>
      <c r="K30" s="15"/>
      <c r="L30" s="11"/>
      <c r="M30" s="11"/>
      <c r="N30" s="11"/>
      <c r="O30" s="12"/>
      <c r="P30" s="4" t="s">
        <v>86</v>
      </c>
      <c r="Q30" s="4" t="s">
        <v>87</v>
      </c>
      <c r="R30" s="50" t="s">
        <v>82</v>
      </c>
      <c r="S30" s="3"/>
    </row>
    <row r="31" spans="1:19" ht="36" x14ac:dyDescent="0.3">
      <c r="A31" s="9">
        <v>24</v>
      </c>
      <c r="B31" s="14"/>
      <c r="C31" s="10"/>
      <c r="D31" s="10"/>
      <c r="E31" s="10"/>
      <c r="F31" s="27" t="s">
        <v>154</v>
      </c>
      <c r="G31" s="11" t="s">
        <v>152</v>
      </c>
      <c r="H31" s="13" t="s">
        <v>85</v>
      </c>
      <c r="I31" s="15" t="s">
        <v>155</v>
      </c>
      <c r="J31" s="15" t="s">
        <v>155</v>
      </c>
      <c r="K31" s="15"/>
      <c r="L31" s="11"/>
      <c r="M31" s="11"/>
      <c r="N31" s="11"/>
      <c r="O31" s="12"/>
      <c r="P31" s="4" t="s">
        <v>86</v>
      </c>
      <c r="Q31" s="4" t="s">
        <v>87</v>
      </c>
      <c r="R31" s="50" t="s">
        <v>82</v>
      </c>
      <c r="S31" s="3"/>
    </row>
    <row r="32" spans="1:19" ht="84" x14ac:dyDescent="0.3">
      <c r="A32" s="9">
        <v>25</v>
      </c>
      <c r="B32" s="14"/>
      <c r="C32" s="10"/>
      <c r="D32" s="10"/>
      <c r="E32" s="10"/>
      <c r="F32" s="27" t="s">
        <v>156</v>
      </c>
      <c r="G32" s="11" t="s">
        <v>17</v>
      </c>
      <c r="H32" s="13" t="s">
        <v>85</v>
      </c>
      <c r="I32" s="15" t="s">
        <v>157</v>
      </c>
      <c r="J32" s="15" t="s">
        <v>157</v>
      </c>
      <c r="K32" s="15" t="s">
        <v>158</v>
      </c>
      <c r="L32" s="11"/>
      <c r="M32" s="11"/>
      <c r="N32" s="11"/>
      <c r="O32" s="12"/>
      <c r="P32" s="4" t="s">
        <v>86</v>
      </c>
      <c r="Q32" s="4" t="s">
        <v>87</v>
      </c>
      <c r="R32" s="50" t="s">
        <v>82</v>
      </c>
      <c r="S32" s="3"/>
    </row>
    <row r="33" spans="1:19" ht="96" x14ac:dyDescent="0.3">
      <c r="A33" s="9">
        <v>26</v>
      </c>
      <c r="B33" s="14"/>
      <c r="C33" s="10"/>
      <c r="D33" s="10"/>
      <c r="E33" s="10"/>
      <c r="F33" s="27" t="s">
        <v>159</v>
      </c>
      <c r="G33" s="11" t="s">
        <v>101</v>
      </c>
      <c r="H33" s="13" t="s">
        <v>85</v>
      </c>
      <c r="I33" s="15" t="s">
        <v>160</v>
      </c>
      <c r="J33" s="15" t="s">
        <v>160</v>
      </c>
      <c r="K33" s="15" t="s">
        <v>161</v>
      </c>
      <c r="L33" s="11"/>
      <c r="M33" s="9" t="s">
        <v>82</v>
      </c>
      <c r="N33" s="15"/>
      <c r="O33" s="12" t="s">
        <v>162</v>
      </c>
      <c r="P33" s="4" t="s">
        <v>86</v>
      </c>
      <c r="Q33" s="4" t="s">
        <v>87</v>
      </c>
      <c r="R33" s="50" t="s">
        <v>82</v>
      </c>
      <c r="S33" s="3"/>
    </row>
    <row r="34" spans="1:19" ht="14.4" x14ac:dyDescent="0.3">
      <c r="A34" s="9">
        <v>27</v>
      </c>
      <c r="B34" s="14"/>
      <c r="C34" s="10"/>
      <c r="D34" s="10"/>
      <c r="E34" s="10"/>
      <c r="F34" s="27" t="s">
        <v>163</v>
      </c>
      <c r="G34" s="11" t="s">
        <v>101</v>
      </c>
      <c r="H34" s="13" t="s">
        <v>85</v>
      </c>
      <c r="I34" s="11"/>
      <c r="J34" s="11"/>
      <c r="K34" s="11"/>
      <c r="L34" s="11"/>
      <c r="M34" s="11"/>
      <c r="N34" s="15"/>
      <c r="O34" s="12"/>
      <c r="P34" s="4" t="s">
        <v>86</v>
      </c>
      <c r="Q34" s="4" t="s">
        <v>87</v>
      </c>
      <c r="R34" s="50" t="s">
        <v>82</v>
      </c>
      <c r="S34" s="3"/>
    </row>
    <row r="35" spans="1:19" ht="36" x14ac:dyDescent="0.3">
      <c r="A35" s="9">
        <v>28</v>
      </c>
      <c r="B35" s="14"/>
      <c r="C35" s="10"/>
      <c r="D35" s="10"/>
      <c r="E35" s="10"/>
      <c r="F35" s="27" t="s">
        <v>164</v>
      </c>
      <c r="G35" s="11" t="s">
        <v>125</v>
      </c>
      <c r="H35" s="13" t="s">
        <v>85</v>
      </c>
      <c r="I35" s="15" t="s">
        <v>165</v>
      </c>
      <c r="J35" s="15" t="s">
        <v>165</v>
      </c>
      <c r="K35" s="15" t="s">
        <v>166</v>
      </c>
      <c r="L35" s="11"/>
      <c r="M35" s="11"/>
      <c r="N35" s="11"/>
      <c r="O35" s="12"/>
      <c r="P35" s="4" t="s">
        <v>86</v>
      </c>
      <c r="Q35" s="4" t="s">
        <v>87</v>
      </c>
      <c r="R35" s="50" t="s">
        <v>82</v>
      </c>
      <c r="S35" s="3"/>
    </row>
    <row r="36" spans="1:19" ht="36" x14ac:dyDescent="0.3">
      <c r="A36" s="9">
        <v>29</v>
      </c>
      <c r="B36" s="14"/>
      <c r="C36" s="10"/>
      <c r="D36" s="10"/>
      <c r="E36" s="10"/>
      <c r="F36" s="27" t="s">
        <v>167</v>
      </c>
      <c r="G36" s="11" t="s">
        <v>17</v>
      </c>
      <c r="H36" s="10" t="s">
        <v>85</v>
      </c>
      <c r="I36" s="15" t="s">
        <v>168</v>
      </c>
      <c r="J36" s="123" t="s">
        <v>169</v>
      </c>
      <c r="K36" s="15"/>
      <c r="L36" s="11"/>
      <c r="M36" s="11"/>
      <c r="N36" s="11"/>
      <c r="O36" s="12"/>
      <c r="P36" s="4" t="s">
        <v>86</v>
      </c>
      <c r="Q36" s="4" t="s">
        <v>87</v>
      </c>
      <c r="R36" s="50" t="s">
        <v>82</v>
      </c>
      <c r="S36" s="66" t="s">
        <v>82</v>
      </c>
    </row>
    <row r="37" spans="1:19" ht="86.4" x14ac:dyDescent="0.3">
      <c r="A37" s="9">
        <v>30</v>
      </c>
      <c r="B37" s="14"/>
      <c r="C37" s="10"/>
      <c r="D37" s="10"/>
      <c r="E37" s="10"/>
      <c r="F37" s="27" t="s">
        <v>170</v>
      </c>
      <c r="G37" s="11" t="s">
        <v>125</v>
      </c>
      <c r="H37" s="13" t="s">
        <v>85</v>
      </c>
      <c r="I37" s="11" t="s">
        <v>171</v>
      </c>
      <c r="J37" s="11" t="s">
        <v>171</v>
      </c>
      <c r="K37" s="11"/>
      <c r="L37" s="11"/>
      <c r="M37" s="11"/>
      <c r="N37" s="11"/>
      <c r="O37" s="12"/>
      <c r="P37" s="4" t="s">
        <v>86</v>
      </c>
      <c r="Q37" s="4" t="s">
        <v>87</v>
      </c>
      <c r="R37" s="50" t="s">
        <v>82</v>
      </c>
      <c r="S37" s="3"/>
    </row>
    <row r="38" spans="1:19" ht="14.4" x14ac:dyDescent="0.3">
      <c r="A38" s="9">
        <v>31</v>
      </c>
      <c r="B38" s="14"/>
      <c r="C38" s="10"/>
      <c r="D38" s="10"/>
      <c r="E38" s="10"/>
      <c r="F38" s="27" t="s">
        <v>172</v>
      </c>
      <c r="G38" s="11" t="s">
        <v>125</v>
      </c>
      <c r="H38" s="13" t="s">
        <v>85</v>
      </c>
      <c r="I38" s="15" t="s">
        <v>173</v>
      </c>
      <c r="J38" s="15" t="s">
        <v>173</v>
      </c>
      <c r="K38" s="15"/>
      <c r="L38" s="11"/>
      <c r="M38" s="11"/>
      <c r="N38" s="11"/>
      <c r="O38" s="12"/>
      <c r="P38" s="4" t="s">
        <v>86</v>
      </c>
      <c r="Q38" s="4" t="s">
        <v>87</v>
      </c>
      <c r="R38" s="50" t="s">
        <v>82</v>
      </c>
      <c r="S38" s="3"/>
    </row>
    <row r="39" spans="1:19" ht="14.4" x14ac:dyDescent="0.3">
      <c r="A39" s="9">
        <v>32</v>
      </c>
      <c r="B39" s="14"/>
      <c r="C39" s="10"/>
      <c r="D39" s="10"/>
      <c r="E39" s="10"/>
      <c r="F39" s="27" t="s">
        <v>174</v>
      </c>
      <c r="G39" s="11" t="s">
        <v>101</v>
      </c>
      <c r="H39" s="13" t="s">
        <v>85</v>
      </c>
      <c r="I39" s="15" t="s">
        <v>175</v>
      </c>
      <c r="J39" s="15" t="s">
        <v>175</v>
      </c>
      <c r="K39" s="15"/>
      <c r="L39" s="11"/>
      <c r="M39" s="9" t="s">
        <v>82</v>
      </c>
      <c r="N39" s="15"/>
      <c r="O39" s="12" t="s">
        <v>176</v>
      </c>
      <c r="P39" s="4" t="s">
        <v>86</v>
      </c>
      <c r="Q39" s="4" t="s">
        <v>87</v>
      </c>
      <c r="R39" s="50" t="s">
        <v>82</v>
      </c>
      <c r="S39" s="66" t="s">
        <v>82</v>
      </c>
    </row>
    <row r="40" spans="1:19" ht="60" x14ac:dyDescent="0.3">
      <c r="A40" s="9">
        <v>33</v>
      </c>
      <c r="B40" s="14"/>
      <c r="C40" s="10"/>
      <c r="D40" s="10"/>
      <c r="E40" s="10"/>
      <c r="F40" s="27" t="s">
        <v>177</v>
      </c>
      <c r="G40" s="11" t="s">
        <v>101</v>
      </c>
      <c r="H40" s="13" t="s">
        <v>85</v>
      </c>
      <c r="I40" s="15" t="s">
        <v>178</v>
      </c>
      <c r="J40" s="15" t="s">
        <v>178</v>
      </c>
      <c r="K40" s="15" t="s">
        <v>179</v>
      </c>
      <c r="L40" s="11"/>
      <c r="M40" s="9" t="s">
        <v>82</v>
      </c>
      <c r="N40" s="15"/>
      <c r="O40" s="12" t="s">
        <v>162</v>
      </c>
      <c r="P40" s="4" t="s">
        <v>86</v>
      </c>
      <c r="Q40" s="4" t="s">
        <v>87</v>
      </c>
      <c r="R40" s="50" t="s">
        <v>82</v>
      </c>
      <c r="S40" s="66" t="s">
        <v>82</v>
      </c>
    </row>
    <row r="41" spans="1:19" ht="48" x14ac:dyDescent="0.3">
      <c r="A41" s="9">
        <v>34</v>
      </c>
      <c r="B41" s="14"/>
      <c r="C41" s="10"/>
      <c r="D41" s="10"/>
      <c r="E41" s="10"/>
      <c r="F41" s="27" t="s">
        <v>180</v>
      </c>
      <c r="G41" s="11" t="s">
        <v>17</v>
      </c>
      <c r="H41" s="10" t="s">
        <v>85</v>
      </c>
      <c r="I41" s="15" t="s">
        <v>181</v>
      </c>
      <c r="J41" s="123" t="s">
        <v>182</v>
      </c>
      <c r="K41" s="15"/>
      <c r="L41" s="11"/>
      <c r="M41" s="11"/>
      <c r="N41" s="11"/>
      <c r="O41" s="12"/>
      <c r="P41" s="4" t="s">
        <v>86</v>
      </c>
      <c r="Q41" s="4" t="s">
        <v>87</v>
      </c>
      <c r="R41" s="50" t="s">
        <v>82</v>
      </c>
      <c r="S41" s="66" t="s">
        <v>82</v>
      </c>
    </row>
    <row r="42" spans="1:19" ht="36" x14ac:dyDescent="0.3">
      <c r="A42" s="9">
        <v>35</v>
      </c>
      <c r="B42" s="14"/>
      <c r="C42" s="10"/>
      <c r="D42" s="10"/>
      <c r="E42" s="10"/>
      <c r="F42" s="27" t="s">
        <v>183</v>
      </c>
      <c r="G42" s="11" t="s">
        <v>101</v>
      </c>
      <c r="H42" s="10" t="s">
        <v>85</v>
      </c>
      <c r="I42" s="15" t="s">
        <v>184</v>
      </c>
      <c r="J42" s="15" t="s">
        <v>184</v>
      </c>
      <c r="K42" s="15"/>
      <c r="L42" s="11"/>
      <c r="M42" s="9" t="s">
        <v>82</v>
      </c>
      <c r="N42" s="15"/>
      <c r="O42" s="12" t="s">
        <v>185</v>
      </c>
      <c r="P42" s="4" t="s">
        <v>86</v>
      </c>
      <c r="Q42" s="4" t="s">
        <v>87</v>
      </c>
      <c r="R42" s="50" t="s">
        <v>82</v>
      </c>
      <c r="S42" s="66" t="s">
        <v>82</v>
      </c>
    </row>
    <row r="43" spans="1:19" ht="48" x14ac:dyDescent="0.3">
      <c r="A43" s="9">
        <v>36</v>
      </c>
      <c r="B43" s="14"/>
      <c r="C43" s="10"/>
      <c r="D43" s="10"/>
      <c r="E43" s="10"/>
      <c r="F43" s="27" t="s">
        <v>186</v>
      </c>
      <c r="G43" s="11" t="s">
        <v>148</v>
      </c>
      <c r="H43" s="13" t="s">
        <v>85</v>
      </c>
      <c r="I43" s="124" t="s">
        <v>187</v>
      </c>
      <c r="J43" s="124" t="s">
        <v>187</v>
      </c>
      <c r="K43" s="15"/>
      <c r="L43" s="11"/>
      <c r="M43" s="11"/>
      <c r="N43" s="11"/>
      <c r="O43" s="12"/>
      <c r="P43" s="4" t="s">
        <v>86</v>
      </c>
      <c r="Q43" s="4" t="s">
        <v>87</v>
      </c>
      <c r="R43" s="50" t="s">
        <v>82</v>
      </c>
      <c r="S43" s="3"/>
    </row>
    <row r="44" spans="1:19" ht="28.8" x14ac:dyDescent="0.3">
      <c r="A44" s="9">
        <v>37</v>
      </c>
      <c r="B44" s="14"/>
      <c r="C44" s="10"/>
      <c r="D44" s="10"/>
      <c r="E44" s="10"/>
      <c r="F44" s="27" t="s">
        <v>188</v>
      </c>
      <c r="G44" s="11" t="s">
        <v>101</v>
      </c>
      <c r="H44" s="13" t="s">
        <v>85</v>
      </c>
      <c r="I44" s="11" t="s">
        <v>189</v>
      </c>
      <c r="J44" s="11" t="s">
        <v>189</v>
      </c>
      <c r="K44" s="11"/>
      <c r="L44" s="11"/>
      <c r="M44" s="11"/>
      <c r="N44" s="11"/>
      <c r="O44" s="12"/>
      <c r="P44" s="4" t="s">
        <v>86</v>
      </c>
      <c r="Q44" s="4" t="s">
        <v>87</v>
      </c>
      <c r="R44" s="50" t="s">
        <v>82</v>
      </c>
      <c r="S44" s="3"/>
    </row>
    <row r="45" spans="1:19" ht="187.2" x14ac:dyDescent="0.3">
      <c r="A45" s="9">
        <v>38</v>
      </c>
      <c r="B45" s="14"/>
      <c r="C45" s="10"/>
      <c r="D45" s="10"/>
      <c r="E45" s="10"/>
      <c r="F45" s="27" t="s">
        <v>190</v>
      </c>
      <c r="G45" s="11" t="s">
        <v>125</v>
      </c>
      <c r="H45" s="13" t="s">
        <v>85</v>
      </c>
      <c r="I45" s="11" t="s">
        <v>191</v>
      </c>
      <c r="J45" s="11" t="s">
        <v>191</v>
      </c>
      <c r="K45" s="11"/>
      <c r="L45" s="11"/>
      <c r="M45" s="11"/>
      <c r="N45" s="11"/>
      <c r="O45" s="12"/>
      <c r="P45" s="4" t="s">
        <v>86</v>
      </c>
      <c r="Q45" s="4" t="s">
        <v>87</v>
      </c>
      <c r="R45" s="50" t="s">
        <v>82</v>
      </c>
      <c r="S45" s="3"/>
    </row>
    <row r="46" spans="1:19" ht="36" x14ac:dyDescent="0.3">
      <c r="A46" s="9">
        <v>39</v>
      </c>
      <c r="B46" s="14"/>
      <c r="C46" s="10"/>
      <c r="D46" s="10"/>
      <c r="E46" s="10"/>
      <c r="F46" s="27" t="s">
        <v>192</v>
      </c>
      <c r="G46" s="11" t="s">
        <v>101</v>
      </c>
      <c r="H46" s="13" t="s">
        <v>85</v>
      </c>
      <c r="I46" s="15" t="s">
        <v>193</v>
      </c>
      <c r="J46" s="15" t="s">
        <v>193</v>
      </c>
      <c r="K46" s="15"/>
      <c r="L46" s="11"/>
      <c r="M46" s="11"/>
      <c r="N46" s="15"/>
      <c r="O46" s="12"/>
      <c r="P46" s="4" t="s">
        <v>86</v>
      </c>
      <c r="Q46" s="4" t="s">
        <v>87</v>
      </c>
      <c r="R46" s="50" t="s">
        <v>82</v>
      </c>
      <c r="S46" s="3"/>
    </row>
    <row r="47" spans="1:19" ht="14.4" x14ac:dyDescent="0.3">
      <c r="A47" s="9">
        <v>40</v>
      </c>
      <c r="B47" s="14"/>
      <c r="C47" s="10"/>
      <c r="D47" s="10"/>
      <c r="E47" s="10"/>
      <c r="F47" s="27" t="s">
        <v>194</v>
      </c>
      <c r="G47" s="11"/>
      <c r="H47" s="13" t="s">
        <v>85</v>
      </c>
      <c r="I47" s="15" t="s">
        <v>195</v>
      </c>
      <c r="J47" s="15" t="s">
        <v>195</v>
      </c>
      <c r="K47" s="15"/>
      <c r="L47" s="11"/>
      <c r="M47" s="11"/>
      <c r="N47" s="11"/>
      <c r="O47" s="12"/>
      <c r="P47" s="4" t="s">
        <v>86</v>
      </c>
      <c r="Q47" s="4" t="s">
        <v>87</v>
      </c>
      <c r="R47" s="50" t="s">
        <v>82</v>
      </c>
      <c r="S47" s="3"/>
    </row>
    <row r="48" spans="1:19" ht="14.4" x14ac:dyDescent="0.3">
      <c r="A48" s="9">
        <v>41</v>
      </c>
      <c r="B48" s="14"/>
      <c r="C48" s="10"/>
      <c r="D48" s="10"/>
      <c r="E48" s="10"/>
      <c r="F48" s="27" t="s">
        <v>196</v>
      </c>
      <c r="G48" s="11" t="s">
        <v>125</v>
      </c>
      <c r="H48" s="13" t="s">
        <v>85</v>
      </c>
      <c r="I48" s="16"/>
      <c r="J48" s="16"/>
      <c r="K48" s="15" t="s">
        <v>197</v>
      </c>
      <c r="L48" s="11"/>
      <c r="M48" s="11"/>
      <c r="N48" s="11"/>
      <c r="O48" s="12"/>
      <c r="P48" s="4" t="s">
        <v>86</v>
      </c>
      <c r="Q48" s="4" t="s">
        <v>87</v>
      </c>
      <c r="R48" s="50" t="s">
        <v>82</v>
      </c>
      <c r="S48" s="66" t="s">
        <v>82</v>
      </c>
    </row>
    <row r="49" spans="1:19" ht="60" x14ac:dyDescent="0.3">
      <c r="A49" s="9">
        <v>42</v>
      </c>
      <c r="B49" s="14"/>
      <c r="C49" s="10"/>
      <c r="D49" s="10"/>
      <c r="E49" s="10"/>
      <c r="F49" s="27" t="s">
        <v>198</v>
      </c>
      <c r="G49" s="11" t="s">
        <v>101</v>
      </c>
      <c r="H49" s="13" t="s">
        <v>85</v>
      </c>
      <c r="I49" s="15" t="s">
        <v>199</v>
      </c>
      <c r="J49" s="15" t="s">
        <v>199</v>
      </c>
      <c r="K49" s="15" t="s">
        <v>200</v>
      </c>
      <c r="L49" s="11"/>
      <c r="M49" s="9" t="s">
        <v>82</v>
      </c>
      <c r="N49" s="15"/>
      <c r="O49" s="12" t="s">
        <v>201</v>
      </c>
      <c r="P49" s="4" t="s">
        <v>86</v>
      </c>
      <c r="Q49" s="4" t="s">
        <v>87</v>
      </c>
      <c r="R49" s="50" t="s">
        <v>82</v>
      </c>
      <c r="S49" s="3"/>
    </row>
    <row r="50" spans="1:19" ht="24" x14ac:dyDescent="0.3">
      <c r="A50" s="9">
        <v>43</v>
      </c>
      <c r="B50" s="14"/>
      <c r="C50" s="10"/>
      <c r="D50" s="10"/>
      <c r="E50" s="10"/>
      <c r="F50" s="27" t="s">
        <v>202</v>
      </c>
      <c r="G50" s="11" t="s">
        <v>125</v>
      </c>
      <c r="H50" s="13" t="s">
        <v>85</v>
      </c>
      <c r="I50" s="15" t="s">
        <v>203</v>
      </c>
      <c r="J50" s="15" t="s">
        <v>203</v>
      </c>
      <c r="K50" s="15"/>
      <c r="L50" s="11"/>
      <c r="M50" s="11"/>
      <c r="N50" s="11"/>
      <c r="O50" s="12"/>
      <c r="P50" s="4" t="s">
        <v>86</v>
      </c>
      <c r="Q50" s="4" t="s">
        <v>87</v>
      </c>
      <c r="R50" s="50" t="s">
        <v>82</v>
      </c>
      <c r="S50" s="3"/>
    </row>
    <row r="51" spans="1:19" ht="72" x14ac:dyDescent="0.3">
      <c r="A51" s="9">
        <v>44</v>
      </c>
      <c r="B51" s="14"/>
      <c r="C51" s="10"/>
      <c r="D51" s="10"/>
      <c r="E51" s="10"/>
      <c r="F51" s="27" t="s">
        <v>204</v>
      </c>
      <c r="G51" s="11" t="s">
        <v>17</v>
      </c>
      <c r="H51" s="13" t="s">
        <v>85</v>
      </c>
      <c r="I51" s="11" t="s">
        <v>205</v>
      </c>
      <c r="J51" s="11" t="s">
        <v>205</v>
      </c>
      <c r="K51" s="11"/>
      <c r="L51" s="11"/>
      <c r="M51" s="11"/>
      <c r="N51" s="11"/>
      <c r="O51" s="12"/>
      <c r="P51" s="4" t="s">
        <v>86</v>
      </c>
      <c r="Q51" s="4" t="s">
        <v>87</v>
      </c>
      <c r="R51" s="50" t="s">
        <v>82</v>
      </c>
      <c r="S51" s="3"/>
    </row>
    <row r="52" spans="1:19" ht="144" x14ac:dyDescent="0.3">
      <c r="A52" s="9">
        <v>45</v>
      </c>
      <c r="B52" s="14"/>
      <c r="C52" s="10"/>
      <c r="D52" s="10"/>
      <c r="E52" s="10"/>
      <c r="F52" s="27" t="s">
        <v>206</v>
      </c>
      <c r="G52" s="11"/>
      <c r="H52" s="13" t="s">
        <v>85</v>
      </c>
      <c r="I52" s="11" t="s">
        <v>207</v>
      </c>
      <c r="J52" s="11" t="s">
        <v>207</v>
      </c>
      <c r="K52" s="11" t="s">
        <v>208</v>
      </c>
      <c r="L52" s="11"/>
      <c r="M52" s="11"/>
      <c r="N52" s="11"/>
      <c r="O52" s="12"/>
      <c r="P52" s="4" t="s">
        <v>86</v>
      </c>
      <c r="Q52" s="4" t="s">
        <v>87</v>
      </c>
      <c r="R52" s="50" t="s">
        <v>82</v>
      </c>
      <c r="S52" s="3"/>
    </row>
    <row r="53" spans="1:19" ht="14.4" x14ac:dyDescent="0.3">
      <c r="A53" s="9">
        <v>46</v>
      </c>
      <c r="B53" s="14"/>
      <c r="C53" s="10"/>
      <c r="D53" s="10"/>
      <c r="E53" s="10"/>
      <c r="F53" s="27" t="s">
        <v>209</v>
      </c>
      <c r="G53" s="11" t="s">
        <v>210</v>
      </c>
      <c r="H53" s="13" t="s">
        <v>85</v>
      </c>
      <c r="I53" s="11"/>
      <c r="J53" s="11"/>
      <c r="K53" s="11"/>
      <c r="L53" s="11"/>
      <c r="M53" s="11"/>
      <c r="N53" s="11"/>
      <c r="O53" s="12"/>
      <c r="P53" s="4" t="s">
        <v>86</v>
      </c>
      <c r="Q53" s="4" t="s">
        <v>87</v>
      </c>
      <c r="R53" s="50" t="s">
        <v>82</v>
      </c>
      <c r="S53" s="3"/>
    </row>
    <row r="54" spans="1:19" ht="14.4" x14ac:dyDescent="0.3">
      <c r="A54" s="9">
        <v>47</v>
      </c>
      <c r="B54" s="14"/>
      <c r="C54" s="10"/>
      <c r="D54" s="10"/>
      <c r="E54" s="10"/>
      <c r="F54" s="27" t="s">
        <v>211</v>
      </c>
      <c r="G54" s="11" t="s">
        <v>210</v>
      </c>
      <c r="H54" s="13" t="s">
        <v>85</v>
      </c>
      <c r="I54" s="11"/>
      <c r="J54" s="11"/>
      <c r="K54" s="11"/>
      <c r="L54" s="11"/>
      <c r="M54" s="9" t="s">
        <v>82</v>
      </c>
      <c r="N54" s="11"/>
      <c r="O54" s="12" t="s">
        <v>212</v>
      </c>
      <c r="P54" s="4" t="s">
        <v>86</v>
      </c>
      <c r="Q54" s="4" t="s">
        <v>87</v>
      </c>
      <c r="R54" s="50" t="s">
        <v>82</v>
      </c>
      <c r="S54" s="3"/>
    </row>
    <row r="55" spans="1:19" ht="14.4" x14ac:dyDescent="0.3">
      <c r="A55" s="9">
        <v>48</v>
      </c>
      <c r="B55" s="14"/>
      <c r="C55" s="10"/>
      <c r="D55" s="10"/>
      <c r="E55" s="10"/>
      <c r="F55" s="27" t="s">
        <v>213</v>
      </c>
      <c r="G55" s="11" t="s">
        <v>214</v>
      </c>
      <c r="H55" s="13" t="s">
        <v>85</v>
      </c>
      <c r="I55" s="11"/>
      <c r="J55" s="11"/>
      <c r="K55" s="11"/>
      <c r="L55" s="11"/>
      <c r="M55" s="11"/>
      <c r="N55" s="11"/>
      <c r="O55" s="12"/>
      <c r="P55" s="4" t="s">
        <v>86</v>
      </c>
      <c r="Q55" s="4" t="s">
        <v>87</v>
      </c>
      <c r="R55" s="50" t="s">
        <v>82</v>
      </c>
      <c r="S55" s="3"/>
    </row>
    <row r="56" spans="1:19" ht="14.4" x14ac:dyDescent="0.3">
      <c r="A56" s="9">
        <v>49</v>
      </c>
      <c r="B56" s="14"/>
      <c r="C56" s="10"/>
      <c r="D56" s="10"/>
      <c r="E56" s="10"/>
      <c r="F56" s="27" t="s">
        <v>215</v>
      </c>
      <c r="G56" s="11" t="s">
        <v>214</v>
      </c>
      <c r="H56" s="13" t="s">
        <v>85</v>
      </c>
      <c r="I56" s="11"/>
      <c r="J56" s="11"/>
      <c r="K56" s="11"/>
      <c r="L56" s="11"/>
      <c r="M56" s="9" t="s">
        <v>82</v>
      </c>
      <c r="N56" s="11"/>
      <c r="O56" s="12" t="s">
        <v>216</v>
      </c>
      <c r="P56" s="4" t="s">
        <v>86</v>
      </c>
      <c r="Q56" s="4" t="s">
        <v>87</v>
      </c>
      <c r="R56" s="50" t="s">
        <v>82</v>
      </c>
      <c r="S56" s="3"/>
    </row>
    <row r="57" spans="1:19" ht="57.6" x14ac:dyDescent="0.3">
      <c r="A57" s="9">
        <v>50</v>
      </c>
      <c r="B57" s="14"/>
      <c r="C57" s="10"/>
      <c r="D57" s="10"/>
      <c r="E57" s="10"/>
      <c r="F57" s="27" t="s">
        <v>217</v>
      </c>
      <c r="G57" s="11"/>
      <c r="H57" s="13" t="s">
        <v>85</v>
      </c>
      <c r="I57" s="11" t="s">
        <v>218</v>
      </c>
      <c r="J57" s="11" t="s">
        <v>218</v>
      </c>
      <c r="K57" s="11"/>
      <c r="L57" s="11"/>
      <c r="M57" s="9" t="s">
        <v>82</v>
      </c>
      <c r="N57" s="11"/>
      <c r="O57" s="12" t="s">
        <v>219</v>
      </c>
      <c r="P57" s="4" t="s">
        <v>86</v>
      </c>
      <c r="Q57" s="4" t="s">
        <v>87</v>
      </c>
      <c r="R57" s="50" t="s">
        <v>82</v>
      </c>
      <c r="S57" s="3"/>
    </row>
    <row r="58" spans="1:19" ht="24" x14ac:dyDescent="0.3">
      <c r="A58" s="9">
        <v>51</v>
      </c>
      <c r="B58" s="14"/>
      <c r="C58" s="10"/>
      <c r="D58" s="10"/>
      <c r="E58" s="103"/>
      <c r="F58" s="34" t="s">
        <v>220</v>
      </c>
      <c r="G58" s="11" t="s">
        <v>125</v>
      </c>
      <c r="H58" s="10" t="s">
        <v>85</v>
      </c>
      <c r="I58" s="15" t="s">
        <v>221</v>
      </c>
      <c r="J58" s="15" t="s">
        <v>221</v>
      </c>
      <c r="K58" s="15"/>
      <c r="L58" s="9" t="s">
        <v>85</v>
      </c>
      <c r="M58" s="11"/>
      <c r="N58" s="11"/>
      <c r="O58" s="12"/>
      <c r="P58" s="4" t="s">
        <v>86</v>
      </c>
      <c r="Q58" s="4" t="s">
        <v>87</v>
      </c>
      <c r="R58" s="50" t="s">
        <v>82</v>
      </c>
      <c r="S58" s="3"/>
    </row>
    <row r="59" spans="1:19" ht="14.4" x14ac:dyDescent="0.3">
      <c r="A59" s="9">
        <v>52</v>
      </c>
      <c r="B59" s="14"/>
      <c r="C59" s="10"/>
      <c r="D59" s="10"/>
      <c r="E59" s="10"/>
      <c r="F59" s="27" t="s">
        <v>222</v>
      </c>
      <c r="G59" s="11"/>
      <c r="H59" s="13" t="s">
        <v>85</v>
      </c>
      <c r="I59" s="11"/>
      <c r="J59" s="11"/>
      <c r="K59" s="11"/>
      <c r="L59" s="11"/>
      <c r="M59" s="11"/>
      <c r="N59" s="11"/>
      <c r="O59" s="12"/>
      <c r="P59" s="4" t="s">
        <v>86</v>
      </c>
      <c r="Q59" s="4" t="s">
        <v>87</v>
      </c>
      <c r="R59" s="50" t="s">
        <v>82</v>
      </c>
      <c r="S59" s="3"/>
    </row>
    <row r="60" spans="1:19" ht="14.4" x14ac:dyDescent="0.3">
      <c r="A60" s="9">
        <v>53</v>
      </c>
      <c r="B60" s="14"/>
      <c r="C60" s="10"/>
      <c r="D60" s="10"/>
      <c r="E60" s="10"/>
      <c r="F60" s="27" t="s">
        <v>223</v>
      </c>
      <c r="G60" s="11"/>
      <c r="H60" s="13" t="s">
        <v>85</v>
      </c>
      <c r="I60" s="11"/>
      <c r="J60" s="11"/>
      <c r="K60" s="11"/>
      <c r="L60" s="11"/>
      <c r="M60" s="11"/>
      <c r="N60" s="11"/>
      <c r="O60" s="12"/>
      <c r="P60" s="4" t="s">
        <v>86</v>
      </c>
      <c r="Q60" s="4" t="s">
        <v>87</v>
      </c>
      <c r="R60" s="50" t="s">
        <v>82</v>
      </c>
      <c r="S60" s="3"/>
    </row>
    <row r="61" spans="1:19" ht="86.4" x14ac:dyDescent="0.3">
      <c r="A61" s="9">
        <v>54</v>
      </c>
      <c r="B61" s="14"/>
      <c r="C61" s="10"/>
      <c r="D61" s="10"/>
      <c r="E61" s="10"/>
      <c r="F61" s="27" t="s">
        <v>224</v>
      </c>
      <c r="G61" s="11" t="s">
        <v>125</v>
      </c>
      <c r="H61" s="13" t="s">
        <v>85</v>
      </c>
      <c r="I61" s="11" t="s">
        <v>225</v>
      </c>
      <c r="J61" s="11" t="s">
        <v>225</v>
      </c>
      <c r="K61" s="11" t="s">
        <v>226</v>
      </c>
      <c r="L61" s="11"/>
      <c r="M61" s="11"/>
      <c r="N61" s="11"/>
      <c r="O61" s="12"/>
      <c r="P61" s="4" t="s">
        <v>86</v>
      </c>
      <c r="Q61" s="4" t="s">
        <v>87</v>
      </c>
      <c r="R61" s="50" t="s">
        <v>82</v>
      </c>
      <c r="S61" s="3"/>
    </row>
    <row r="62" spans="1:19" ht="72" x14ac:dyDescent="0.3">
      <c r="A62" s="9">
        <v>55</v>
      </c>
      <c r="B62" s="14"/>
      <c r="C62" s="10"/>
      <c r="D62" s="10"/>
      <c r="E62" s="10"/>
      <c r="F62" s="27" t="s">
        <v>227</v>
      </c>
      <c r="G62" s="11" t="s">
        <v>101</v>
      </c>
      <c r="H62" s="13" t="s">
        <v>85</v>
      </c>
      <c r="I62" s="11" t="s">
        <v>228</v>
      </c>
      <c r="J62" s="161" t="s">
        <v>229</v>
      </c>
      <c r="K62" s="11"/>
      <c r="L62" s="11"/>
      <c r="M62" s="9" t="s">
        <v>82</v>
      </c>
      <c r="N62" s="15"/>
      <c r="O62" s="12" t="s">
        <v>230</v>
      </c>
      <c r="P62" s="4" t="s">
        <v>86</v>
      </c>
      <c r="Q62" s="4" t="s">
        <v>87</v>
      </c>
      <c r="R62" s="50" t="s">
        <v>82</v>
      </c>
      <c r="S62" s="3"/>
    </row>
    <row r="63" spans="1:19" ht="14.4" x14ac:dyDescent="0.3">
      <c r="A63" s="9">
        <v>56</v>
      </c>
      <c r="B63" s="14"/>
      <c r="C63" s="10"/>
      <c r="D63" s="10"/>
      <c r="E63" s="10"/>
      <c r="F63" s="27" t="s">
        <v>231</v>
      </c>
      <c r="G63" s="11" t="s">
        <v>125</v>
      </c>
      <c r="H63" s="13" t="s">
        <v>85</v>
      </c>
      <c r="I63" s="11"/>
      <c r="J63" s="11"/>
      <c r="K63" s="11"/>
      <c r="L63" s="11"/>
      <c r="M63" s="11"/>
      <c r="N63" s="11"/>
      <c r="O63" s="12"/>
      <c r="P63" s="4" t="s">
        <v>86</v>
      </c>
      <c r="Q63" s="4" t="s">
        <v>87</v>
      </c>
      <c r="R63" s="50" t="s">
        <v>82</v>
      </c>
      <c r="S63" s="3"/>
    </row>
    <row r="64" spans="1:19" ht="14.4" x14ac:dyDescent="0.3">
      <c r="A64" s="9">
        <v>57</v>
      </c>
      <c r="B64" s="14"/>
      <c r="C64" s="10"/>
      <c r="D64" s="10"/>
      <c r="E64" s="10"/>
      <c r="F64" s="27" t="s">
        <v>232</v>
      </c>
      <c r="G64" s="11" t="s">
        <v>125</v>
      </c>
      <c r="H64" s="13" t="s">
        <v>85</v>
      </c>
      <c r="I64" s="11"/>
      <c r="J64" s="11"/>
      <c r="K64" s="11"/>
      <c r="L64" s="11"/>
      <c r="M64" s="11"/>
      <c r="N64" s="11"/>
      <c r="O64" s="12"/>
      <c r="P64" s="4" t="s">
        <v>86</v>
      </c>
      <c r="Q64" s="4" t="s">
        <v>87</v>
      </c>
      <c r="R64" s="50" t="s">
        <v>82</v>
      </c>
      <c r="S64" s="3"/>
    </row>
    <row r="65" spans="1:19" ht="14.4" x14ac:dyDescent="0.3">
      <c r="A65" s="9">
        <v>58</v>
      </c>
      <c r="B65" s="14"/>
      <c r="C65" s="10"/>
      <c r="D65" s="10"/>
      <c r="E65" s="10"/>
      <c r="F65" s="27" t="s">
        <v>233</v>
      </c>
      <c r="G65" s="11"/>
      <c r="H65" s="13" t="s">
        <v>85</v>
      </c>
      <c r="I65" s="11"/>
      <c r="J65" s="11"/>
      <c r="K65" s="11"/>
      <c r="L65" s="11"/>
      <c r="M65" s="11"/>
      <c r="N65" s="11"/>
      <c r="O65" s="12"/>
      <c r="P65" s="4" t="s">
        <v>86</v>
      </c>
      <c r="Q65" s="4" t="s">
        <v>87</v>
      </c>
      <c r="R65" s="50" t="s">
        <v>82</v>
      </c>
      <c r="S65" s="3"/>
    </row>
    <row r="66" spans="1:19" ht="14.4" x14ac:dyDescent="0.3">
      <c r="A66" s="9">
        <v>59</v>
      </c>
      <c r="B66" s="14"/>
      <c r="C66" s="10"/>
      <c r="D66" s="10"/>
      <c r="E66" s="10"/>
      <c r="F66" s="27" t="s">
        <v>234</v>
      </c>
      <c r="G66" s="11"/>
      <c r="H66" s="13" t="s">
        <v>85</v>
      </c>
      <c r="I66" s="11"/>
      <c r="J66" s="11"/>
      <c r="K66" s="11"/>
      <c r="L66" s="11"/>
      <c r="M66" s="11"/>
      <c r="N66" s="11"/>
      <c r="O66" s="12"/>
      <c r="P66" s="4" t="s">
        <v>86</v>
      </c>
      <c r="Q66" s="4" t="s">
        <v>87</v>
      </c>
      <c r="R66" s="50" t="s">
        <v>82</v>
      </c>
      <c r="S66" s="3"/>
    </row>
    <row r="67" spans="1:19" ht="36" x14ac:dyDescent="0.3">
      <c r="A67" s="9">
        <v>60</v>
      </c>
      <c r="B67" s="14"/>
      <c r="C67" s="10"/>
      <c r="D67" s="10"/>
      <c r="E67" s="10"/>
      <c r="F67" s="27" t="s">
        <v>235</v>
      </c>
      <c r="G67" s="11" t="s">
        <v>125</v>
      </c>
      <c r="H67" s="13" t="s">
        <v>85</v>
      </c>
      <c r="I67" s="15" t="s">
        <v>236</v>
      </c>
      <c r="J67" s="15" t="s">
        <v>236</v>
      </c>
      <c r="K67" s="15"/>
      <c r="L67" s="9" t="s">
        <v>85</v>
      </c>
      <c r="M67" s="11"/>
      <c r="N67" s="11"/>
      <c r="O67" s="12"/>
      <c r="P67" s="4" t="s">
        <v>86</v>
      </c>
      <c r="Q67" s="4" t="s">
        <v>87</v>
      </c>
      <c r="R67" s="50" t="s">
        <v>82</v>
      </c>
      <c r="S67" s="3"/>
    </row>
    <row r="68" spans="1:19" ht="24" x14ac:dyDescent="0.3">
      <c r="A68" s="9">
        <v>61</v>
      </c>
      <c r="B68" s="14"/>
      <c r="C68" s="10"/>
      <c r="D68" s="10"/>
      <c r="E68" s="10"/>
      <c r="F68" s="27" t="s">
        <v>237</v>
      </c>
      <c r="G68" s="11" t="s">
        <v>125</v>
      </c>
      <c r="H68" s="13" t="s">
        <v>85</v>
      </c>
      <c r="I68" s="15" t="s">
        <v>238</v>
      </c>
      <c r="J68" s="15" t="s">
        <v>238</v>
      </c>
      <c r="K68" s="15"/>
      <c r="L68" s="11"/>
      <c r="M68" s="11"/>
      <c r="N68" s="11"/>
      <c r="O68" s="12"/>
      <c r="P68" s="4" t="s">
        <v>86</v>
      </c>
      <c r="Q68" s="4" t="s">
        <v>87</v>
      </c>
      <c r="R68" s="50" t="s">
        <v>82</v>
      </c>
      <c r="S68" s="3"/>
    </row>
    <row r="69" spans="1:19" ht="14.4" x14ac:dyDescent="0.3">
      <c r="A69" s="9">
        <v>62</v>
      </c>
      <c r="B69" s="14"/>
      <c r="C69" s="10"/>
      <c r="D69" s="10"/>
      <c r="E69" s="10"/>
      <c r="F69" s="27" t="s">
        <v>239</v>
      </c>
      <c r="G69" s="11" t="s">
        <v>101</v>
      </c>
      <c r="H69" s="13" t="s">
        <v>85</v>
      </c>
      <c r="I69" s="11"/>
      <c r="J69" s="11"/>
      <c r="K69" s="11"/>
      <c r="L69" s="11"/>
      <c r="M69" s="11"/>
      <c r="N69" s="11"/>
      <c r="O69" s="12"/>
      <c r="P69" s="4" t="s">
        <v>86</v>
      </c>
      <c r="Q69" s="4" t="s">
        <v>87</v>
      </c>
      <c r="R69" s="50" t="s">
        <v>82</v>
      </c>
      <c r="S69" s="66" t="s">
        <v>82</v>
      </c>
    </row>
    <row r="70" spans="1:19" ht="14.4" x14ac:dyDescent="0.3">
      <c r="A70" s="9">
        <v>63</v>
      </c>
      <c r="B70" s="14"/>
      <c r="C70" s="10"/>
      <c r="D70" s="10"/>
      <c r="E70" s="10"/>
      <c r="F70" s="27" t="s">
        <v>240</v>
      </c>
      <c r="G70" s="15" t="s">
        <v>241</v>
      </c>
      <c r="H70" s="13" t="s">
        <v>85</v>
      </c>
      <c r="I70" s="11"/>
      <c r="J70" s="11"/>
      <c r="K70" s="11"/>
      <c r="L70" s="11"/>
      <c r="M70" s="11"/>
      <c r="N70" s="11"/>
      <c r="O70" s="12"/>
      <c r="P70" s="4" t="s">
        <v>86</v>
      </c>
      <c r="Q70" s="4" t="s">
        <v>87</v>
      </c>
      <c r="R70" s="50" t="s">
        <v>82</v>
      </c>
      <c r="S70" s="66" t="s">
        <v>82</v>
      </c>
    </row>
    <row r="71" spans="1:19" ht="14.4" x14ac:dyDescent="0.3">
      <c r="A71" s="9">
        <v>64</v>
      </c>
      <c r="B71" s="14"/>
      <c r="C71" s="10"/>
      <c r="D71" s="10"/>
      <c r="E71" s="10"/>
      <c r="F71" s="27" t="s">
        <v>242</v>
      </c>
      <c r="G71" s="15" t="s">
        <v>241</v>
      </c>
      <c r="H71" s="13" t="s">
        <v>85</v>
      </c>
      <c r="I71" s="11"/>
      <c r="J71" s="11"/>
      <c r="K71" s="11"/>
      <c r="L71" s="11"/>
      <c r="M71" s="11"/>
      <c r="N71" s="11"/>
      <c r="O71" s="12"/>
      <c r="P71" s="4" t="s">
        <v>86</v>
      </c>
      <c r="Q71" s="4" t="s">
        <v>87</v>
      </c>
      <c r="R71" s="50" t="s">
        <v>82</v>
      </c>
      <c r="S71" s="66" t="s">
        <v>82</v>
      </c>
    </row>
    <row r="72" spans="1:19" ht="14.4" x14ac:dyDescent="0.3">
      <c r="A72" s="9">
        <v>65</v>
      </c>
      <c r="B72" s="14"/>
      <c r="C72" s="10"/>
      <c r="D72" s="10"/>
      <c r="E72" s="10"/>
      <c r="F72" s="27" t="s">
        <v>243</v>
      </c>
      <c r="G72" s="11" t="s">
        <v>125</v>
      </c>
      <c r="H72" s="13" t="s">
        <v>85</v>
      </c>
      <c r="I72" s="11"/>
      <c r="J72" s="11"/>
      <c r="K72" s="11"/>
      <c r="L72" s="11"/>
      <c r="M72" s="11"/>
      <c r="N72" s="11"/>
      <c r="O72" s="12"/>
      <c r="P72" s="4" t="s">
        <v>86</v>
      </c>
      <c r="Q72" s="4" t="s">
        <v>87</v>
      </c>
      <c r="R72" s="50" t="s">
        <v>82</v>
      </c>
      <c r="S72" s="3"/>
    </row>
    <row r="73" spans="1:19" ht="14.4" x14ac:dyDescent="0.3">
      <c r="A73" s="9">
        <v>66</v>
      </c>
      <c r="B73" s="14"/>
      <c r="C73" s="10"/>
      <c r="D73" s="10"/>
      <c r="E73" s="10"/>
      <c r="F73" s="27" t="s">
        <v>244</v>
      </c>
      <c r="G73" s="11" t="s">
        <v>125</v>
      </c>
      <c r="H73" s="13" t="s">
        <v>85</v>
      </c>
      <c r="I73" s="11"/>
      <c r="J73" s="11"/>
      <c r="K73" s="11"/>
      <c r="L73" s="11"/>
      <c r="M73" s="11"/>
      <c r="N73" s="11"/>
      <c r="O73" s="12"/>
      <c r="P73" s="4" t="s">
        <v>86</v>
      </c>
      <c r="Q73" s="4" t="s">
        <v>87</v>
      </c>
      <c r="R73" s="50" t="s">
        <v>82</v>
      </c>
      <c r="S73" s="3"/>
    </row>
    <row r="74" spans="1:19" ht="14.4" x14ac:dyDescent="0.3">
      <c r="A74" s="9">
        <v>67</v>
      </c>
      <c r="B74" s="14"/>
      <c r="C74" s="10"/>
      <c r="D74" s="10"/>
      <c r="E74" s="10"/>
      <c r="F74" s="27" t="s">
        <v>245</v>
      </c>
      <c r="G74" s="15" t="s">
        <v>246</v>
      </c>
      <c r="H74" s="13" t="s">
        <v>85</v>
      </c>
      <c r="I74" s="11"/>
      <c r="J74" s="11"/>
      <c r="K74" s="11"/>
      <c r="L74" s="11"/>
      <c r="M74" s="11"/>
      <c r="N74" s="11"/>
      <c r="O74" s="12"/>
      <c r="P74" s="4" t="s">
        <v>86</v>
      </c>
      <c r="Q74" s="4" t="s">
        <v>87</v>
      </c>
      <c r="R74" s="50" t="s">
        <v>82</v>
      </c>
      <c r="S74" s="66" t="s">
        <v>82</v>
      </c>
    </row>
    <row r="75" spans="1:19" ht="14.4" x14ac:dyDescent="0.3">
      <c r="A75" s="9">
        <v>68</v>
      </c>
      <c r="B75" s="14"/>
      <c r="C75" s="10"/>
      <c r="D75" s="10"/>
      <c r="E75" s="10"/>
      <c r="F75" s="27" t="s">
        <v>247</v>
      </c>
      <c r="G75" s="15" t="s">
        <v>246</v>
      </c>
      <c r="H75" s="13" t="s">
        <v>85</v>
      </c>
      <c r="I75" s="11"/>
      <c r="J75" s="11"/>
      <c r="K75" s="11"/>
      <c r="L75" s="11"/>
      <c r="M75" s="11"/>
      <c r="N75" s="11"/>
      <c r="O75" s="12"/>
      <c r="P75" s="4" t="s">
        <v>86</v>
      </c>
      <c r="Q75" s="4" t="s">
        <v>87</v>
      </c>
      <c r="R75" s="50" t="s">
        <v>82</v>
      </c>
      <c r="S75" s="66" t="s">
        <v>82</v>
      </c>
    </row>
    <row r="76" spans="1:19" ht="14.4" x14ac:dyDescent="0.3">
      <c r="A76" s="9">
        <v>69</v>
      </c>
      <c r="B76" s="14"/>
      <c r="C76" s="10"/>
      <c r="D76" s="10"/>
      <c r="E76" s="10"/>
      <c r="F76" s="27" t="s">
        <v>248</v>
      </c>
      <c r="G76" s="15" t="s">
        <v>246</v>
      </c>
      <c r="H76" s="13" t="s">
        <v>85</v>
      </c>
      <c r="I76" s="11"/>
      <c r="J76" s="11"/>
      <c r="K76" s="11"/>
      <c r="L76" s="11"/>
      <c r="M76" s="11"/>
      <c r="N76" s="11"/>
      <c r="O76" s="12"/>
      <c r="P76" s="4" t="s">
        <v>86</v>
      </c>
      <c r="Q76" s="4" t="s">
        <v>87</v>
      </c>
      <c r="R76" s="50" t="s">
        <v>82</v>
      </c>
      <c r="S76" s="66" t="s">
        <v>82</v>
      </c>
    </row>
    <row r="77" spans="1:19" ht="14.4" x14ac:dyDescent="0.3">
      <c r="A77" s="9">
        <v>70</v>
      </c>
      <c r="B77" s="14"/>
      <c r="C77" s="10"/>
      <c r="D77" s="10"/>
      <c r="E77" s="10"/>
      <c r="F77" s="27" t="s">
        <v>249</v>
      </c>
      <c r="G77" s="11" t="s">
        <v>125</v>
      </c>
      <c r="H77" s="13" t="s">
        <v>85</v>
      </c>
      <c r="I77" s="11"/>
      <c r="J77" s="11"/>
      <c r="K77" s="11"/>
      <c r="L77" s="11"/>
      <c r="M77" s="11"/>
      <c r="N77" s="11"/>
      <c r="O77" s="12"/>
      <c r="P77" s="4" t="s">
        <v>86</v>
      </c>
      <c r="Q77" s="4" t="s">
        <v>87</v>
      </c>
      <c r="R77" s="50" t="s">
        <v>82</v>
      </c>
      <c r="S77" s="3"/>
    </row>
    <row r="78" spans="1:19" ht="14.4" x14ac:dyDescent="0.3">
      <c r="A78" s="9">
        <v>71</v>
      </c>
      <c r="B78" s="14"/>
      <c r="C78" s="10"/>
      <c r="D78" s="10"/>
      <c r="E78" s="10"/>
      <c r="F78" s="27" t="s">
        <v>250</v>
      </c>
      <c r="G78" s="15" t="s">
        <v>246</v>
      </c>
      <c r="H78" s="13" t="s">
        <v>85</v>
      </c>
      <c r="I78" s="11"/>
      <c r="J78" s="11"/>
      <c r="K78" s="11"/>
      <c r="L78" s="11"/>
      <c r="M78" s="11"/>
      <c r="N78" s="11"/>
      <c r="O78" s="12"/>
      <c r="P78" s="4" t="s">
        <v>86</v>
      </c>
      <c r="Q78" s="4" t="s">
        <v>87</v>
      </c>
      <c r="R78" s="50" t="s">
        <v>82</v>
      </c>
      <c r="S78" s="66" t="s">
        <v>82</v>
      </c>
    </row>
    <row r="79" spans="1:19" ht="14.4" x14ac:dyDescent="0.3">
      <c r="A79" s="9">
        <v>72</v>
      </c>
      <c r="B79" s="14"/>
      <c r="C79" s="10"/>
      <c r="D79" s="10"/>
      <c r="E79" s="10"/>
      <c r="F79" s="27" t="s">
        <v>251</v>
      </c>
      <c r="G79" s="15" t="s">
        <v>241</v>
      </c>
      <c r="H79" s="11"/>
      <c r="I79" s="11"/>
      <c r="J79" s="11"/>
      <c r="K79" s="11"/>
      <c r="L79" s="11"/>
      <c r="M79" s="11"/>
      <c r="N79" s="11"/>
      <c r="O79" s="12"/>
      <c r="P79" s="4" t="s">
        <v>86</v>
      </c>
      <c r="Q79" s="4" t="s">
        <v>87</v>
      </c>
      <c r="R79" s="50" t="s">
        <v>82</v>
      </c>
      <c r="S79" s="66" t="s">
        <v>82</v>
      </c>
    </row>
    <row r="80" spans="1:19" ht="14.4" x14ac:dyDescent="0.3">
      <c r="A80" s="9">
        <v>73</v>
      </c>
      <c r="B80" s="14"/>
      <c r="C80" s="10"/>
      <c r="D80" s="10"/>
      <c r="E80" s="10"/>
      <c r="F80" s="27" t="s">
        <v>252</v>
      </c>
      <c r="G80" s="11" t="s">
        <v>101</v>
      </c>
      <c r="H80" s="13" t="s">
        <v>85</v>
      </c>
      <c r="I80" s="11"/>
      <c r="J80" s="11"/>
      <c r="K80" s="11"/>
      <c r="L80" s="11"/>
      <c r="M80" s="9" t="s">
        <v>82</v>
      </c>
      <c r="N80" s="4"/>
      <c r="O80" s="67" t="s">
        <v>253</v>
      </c>
      <c r="P80" s="4" t="s">
        <v>86</v>
      </c>
      <c r="Q80" s="4" t="s">
        <v>87</v>
      </c>
      <c r="R80" s="50" t="s">
        <v>82</v>
      </c>
      <c r="S80" s="3"/>
    </row>
    <row r="81" spans="1:19" ht="14.4" x14ac:dyDescent="0.3">
      <c r="A81" s="9">
        <v>74</v>
      </c>
      <c r="B81" s="14"/>
      <c r="C81" s="10"/>
      <c r="D81" s="10"/>
      <c r="E81" s="10"/>
      <c r="F81" s="27" t="s">
        <v>254</v>
      </c>
      <c r="G81" s="11" t="s">
        <v>101</v>
      </c>
      <c r="H81" s="13" t="s">
        <v>85</v>
      </c>
      <c r="I81" s="11"/>
      <c r="J81" s="11"/>
      <c r="K81" s="11"/>
      <c r="L81" s="11"/>
      <c r="M81" s="11"/>
      <c r="N81" s="11"/>
      <c r="O81" s="12"/>
      <c r="P81" s="4" t="s">
        <v>86</v>
      </c>
      <c r="Q81" s="4" t="s">
        <v>87</v>
      </c>
      <c r="R81" s="157" t="s">
        <v>82</v>
      </c>
      <c r="S81" s="3"/>
    </row>
    <row r="82" spans="1:19" ht="14.4" x14ac:dyDescent="0.3">
      <c r="A82" s="9">
        <v>75</v>
      </c>
      <c r="B82" s="14"/>
      <c r="C82" s="10"/>
      <c r="D82" s="10"/>
      <c r="E82" s="10"/>
      <c r="F82" s="27" t="s">
        <v>255</v>
      </c>
      <c r="G82" s="11" t="s">
        <v>125</v>
      </c>
      <c r="H82" s="13" t="s">
        <v>85</v>
      </c>
      <c r="I82" s="11"/>
      <c r="J82" s="11"/>
      <c r="K82" s="11"/>
      <c r="L82" s="11"/>
      <c r="M82" s="11"/>
      <c r="N82" s="11"/>
      <c r="O82" s="12"/>
      <c r="P82" s="4" t="s">
        <v>86</v>
      </c>
      <c r="Q82" s="62" t="s">
        <v>87</v>
      </c>
      <c r="R82" s="13" t="s">
        <v>85</v>
      </c>
      <c r="S82" s="156"/>
    </row>
    <row r="83" spans="1:19" ht="14.4" x14ac:dyDescent="0.3">
      <c r="A83" s="9">
        <v>76</v>
      </c>
      <c r="B83" s="14"/>
      <c r="C83" s="10"/>
      <c r="D83" s="10"/>
      <c r="E83" s="10"/>
      <c r="F83" s="27" t="s">
        <v>256</v>
      </c>
      <c r="G83" s="11" t="s">
        <v>125</v>
      </c>
      <c r="H83" s="13" t="s">
        <v>85</v>
      </c>
      <c r="I83" s="11"/>
      <c r="J83" s="11"/>
      <c r="K83" s="11"/>
      <c r="L83" s="11"/>
      <c r="M83" s="11"/>
      <c r="N83" s="11"/>
      <c r="O83" s="12"/>
      <c r="P83" s="4" t="s">
        <v>86</v>
      </c>
      <c r="Q83" s="4" t="s">
        <v>87</v>
      </c>
      <c r="R83" s="159" t="s">
        <v>82</v>
      </c>
      <c r="S83" s="3"/>
    </row>
    <row r="84" spans="1:19" ht="14.4" x14ac:dyDescent="0.3">
      <c r="A84" s="9">
        <v>77</v>
      </c>
      <c r="B84" s="14"/>
      <c r="C84" s="10"/>
      <c r="D84" s="10"/>
      <c r="E84" s="10"/>
      <c r="F84" s="27" t="s">
        <v>257</v>
      </c>
      <c r="G84" s="11" t="s">
        <v>125</v>
      </c>
      <c r="H84" s="13" t="s">
        <v>85</v>
      </c>
      <c r="I84" s="11"/>
      <c r="J84" s="11"/>
      <c r="K84" s="11"/>
      <c r="L84" s="11"/>
      <c r="M84" s="11"/>
      <c r="N84" s="11"/>
      <c r="O84" s="12"/>
      <c r="P84" s="4" t="s">
        <v>86</v>
      </c>
      <c r="Q84" s="4" t="s">
        <v>87</v>
      </c>
      <c r="R84" s="50" t="s">
        <v>82</v>
      </c>
      <c r="S84" s="3"/>
    </row>
    <row r="85" spans="1:19" ht="14.4" x14ac:dyDescent="0.3">
      <c r="A85" s="9">
        <v>78</v>
      </c>
      <c r="B85" s="14"/>
      <c r="C85" s="10"/>
      <c r="D85" s="10"/>
      <c r="E85" s="10"/>
      <c r="F85" s="27" t="s">
        <v>258</v>
      </c>
      <c r="G85" s="11" t="s">
        <v>101</v>
      </c>
      <c r="H85" s="13" t="s">
        <v>85</v>
      </c>
      <c r="I85" s="11"/>
      <c r="J85" s="11"/>
      <c r="K85" s="11"/>
      <c r="L85" s="11"/>
      <c r="M85" s="11"/>
      <c r="N85" s="11"/>
      <c r="O85" s="12"/>
      <c r="P85" s="4" t="s">
        <v>86</v>
      </c>
      <c r="Q85" s="4" t="s">
        <v>87</v>
      </c>
      <c r="R85" s="50" t="s">
        <v>82</v>
      </c>
      <c r="S85" s="3"/>
    </row>
    <row r="86" spans="1:19" ht="14.4" x14ac:dyDescent="0.3">
      <c r="A86" s="9">
        <v>79</v>
      </c>
      <c r="B86" s="14"/>
      <c r="C86" s="10"/>
      <c r="D86" s="10"/>
      <c r="E86" s="10"/>
      <c r="F86" s="27" t="s">
        <v>259</v>
      </c>
      <c r="G86" s="11" t="s">
        <v>101</v>
      </c>
      <c r="H86" s="13" t="s">
        <v>85</v>
      </c>
      <c r="I86" s="11"/>
      <c r="J86" s="11"/>
      <c r="K86" s="11"/>
      <c r="L86" s="11"/>
      <c r="M86" s="11"/>
      <c r="N86" s="11"/>
      <c r="O86" s="12"/>
      <c r="P86" s="4" t="s">
        <v>86</v>
      </c>
      <c r="Q86" s="4" t="s">
        <v>87</v>
      </c>
      <c r="R86" s="50" t="s">
        <v>82</v>
      </c>
      <c r="S86" s="3"/>
    </row>
    <row r="87" spans="1:19" ht="14.4" x14ac:dyDescent="0.3">
      <c r="A87" s="9">
        <v>80</v>
      </c>
      <c r="B87" s="14"/>
      <c r="C87" s="10"/>
      <c r="D87" s="10"/>
      <c r="E87" s="10"/>
      <c r="F87" s="27" t="s">
        <v>260</v>
      </c>
      <c r="G87" s="11" t="s">
        <v>261</v>
      </c>
      <c r="H87" s="13" t="s">
        <v>85</v>
      </c>
      <c r="I87" s="11"/>
      <c r="J87" s="11"/>
      <c r="K87" s="11"/>
      <c r="L87" s="11"/>
      <c r="M87" s="11"/>
      <c r="N87" s="11"/>
      <c r="O87" s="12"/>
      <c r="P87" s="4" t="s">
        <v>86</v>
      </c>
      <c r="Q87" s="4" t="s">
        <v>87</v>
      </c>
      <c r="R87" s="50" t="s">
        <v>82</v>
      </c>
      <c r="S87" s="3"/>
    </row>
    <row r="88" spans="1:19" ht="14.4" x14ac:dyDescent="0.3">
      <c r="A88" s="9">
        <v>81</v>
      </c>
      <c r="B88" s="14"/>
      <c r="C88" s="10"/>
      <c r="D88" s="10"/>
      <c r="E88" s="10"/>
      <c r="F88" s="27" t="s">
        <v>262</v>
      </c>
      <c r="G88" s="11" t="s">
        <v>261</v>
      </c>
      <c r="H88" s="13" t="s">
        <v>85</v>
      </c>
      <c r="I88" s="11"/>
      <c r="J88" s="11"/>
      <c r="K88" s="11"/>
      <c r="L88" s="11"/>
      <c r="M88" s="11"/>
      <c r="N88" s="11"/>
      <c r="O88" s="12"/>
      <c r="P88" s="4" t="s">
        <v>86</v>
      </c>
      <c r="Q88" s="4" t="s">
        <v>87</v>
      </c>
      <c r="R88" s="50" t="s">
        <v>82</v>
      </c>
      <c r="S88" s="3"/>
    </row>
    <row r="89" spans="1:19" ht="14.4" x14ac:dyDescent="0.3">
      <c r="A89" s="9">
        <v>82</v>
      </c>
      <c r="B89" s="14"/>
      <c r="C89" s="10"/>
      <c r="D89" s="10"/>
      <c r="E89" s="10"/>
      <c r="F89" s="27" t="s">
        <v>263</v>
      </c>
      <c r="G89" s="11" t="s">
        <v>125</v>
      </c>
      <c r="H89" s="13" t="s">
        <v>85</v>
      </c>
      <c r="I89" s="11"/>
      <c r="J89" s="11"/>
      <c r="K89" s="11"/>
      <c r="L89" s="11"/>
      <c r="M89" s="11"/>
      <c r="N89" s="11"/>
      <c r="O89" s="12"/>
      <c r="P89" s="4" t="s">
        <v>86</v>
      </c>
      <c r="Q89" s="4" t="s">
        <v>87</v>
      </c>
      <c r="R89" s="50" t="s">
        <v>82</v>
      </c>
      <c r="S89" s="3"/>
    </row>
    <row r="90" spans="1:19" ht="14.4" x14ac:dyDescent="0.3">
      <c r="A90" s="9">
        <v>83</v>
      </c>
      <c r="B90" s="14"/>
      <c r="C90" s="10"/>
      <c r="D90" s="10"/>
      <c r="E90" s="10"/>
      <c r="F90" s="27" t="s">
        <v>264</v>
      </c>
      <c r="G90" s="11" t="s">
        <v>81</v>
      </c>
      <c r="H90" s="13" t="s">
        <v>85</v>
      </c>
      <c r="I90" s="11"/>
      <c r="J90" s="11"/>
      <c r="K90" s="11"/>
      <c r="L90" s="11"/>
      <c r="M90" s="11"/>
      <c r="N90" s="11"/>
      <c r="O90" s="12"/>
      <c r="P90" s="4" t="s">
        <v>86</v>
      </c>
      <c r="Q90" s="4" t="s">
        <v>87</v>
      </c>
      <c r="R90" s="50" t="s">
        <v>82</v>
      </c>
      <c r="S90" s="3"/>
    </row>
    <row r="91" spans="1:19" ht="14.4" x14ac:dyDescent="0.3">
      <c r="A91" s="9">
        <v>84</v>
      </c>
      <c r="B91" s="14"/>
      <c r="C91" s="10"/>
      <c r="D91" s="10"/>
      <c r="E91" s="10"/>
      <c r="F91" s="27" t="s">
        <v>265</v>
      </c>
      <c r="G91" s="11" t="s">
        <v>81</v>
      </c>
      <c r="H91" s="13" t="s">
        <v>85</v>
      </c>
      <c r="I91" s="11"/>
      <c r="J91" s="11"/>
      <c r="K91" s="11"/>
      <c r="L91" s="11"/>
      <c r="M91" s="11"/>
      <c r="N91" s="11"/>
      <c r="O91" s="12"/>
      <c r="P91" s="4" t="s">
        <v>86</v>
      </c>
      <c r="Q91" s="4" t="s">
        <v>87</v>
      </c>
      <c r="R91" s="50" t="s">
        <v>82</v>
      </c>
      <c r="S91" s="3"/>
    </row>
    <row r="92" spans="1:19" ht="14.4" x14ac:dyDescent="0.3">
      <c r="A92" s="9">
        <v>85</v>
      </c>
      <c r="B92" s="14"/>
      <c r="C92" s="10"/>
      <c r="D92" s="10"/>
      <c r="E92" s="10"/>
      <c r="F92" s="27" t="s">
        <v>266</v>
      </c>
      <c r="G92" s="11" t="s">
        <v>261</v>
      </c>
      <c r="H92" s="13" t="s">
        <v>85</v>
      </c>
      <c r="I92" s="11"/>
      <c r="J92" s="11"/>
      <c r="K92" s="11"/>
      <c r="L92" s="11"/>
      <c r="M92" s="11"/>
      <c r="N92" s="11"/>
      <c r="O92" s="12"/>
      <c r="P92" s="4" t="s">
        <v>86</v>
      </c>
      <c r="Q92" s="4" t="s">
        <v>87</v>
      </c>
      <c r="R92" s="50" t="s">
        <v>82</v>
      </c>
      <c r="S92" s="3"/>
    </row>
    <row r="93" spans="1:19" ht="14.4" x14ac:dyDescent="0.3">
      <c r="A93" s="9">
        <v>86</v>
      </c>
      <c r="B93" s="14"/>
      <c r="C93" s="10"/>
      <c r="D93" s="10"/>
      <c r="E93" s="10"/>
      <c r="F93" s="27" t="s">
        <v>267</v>
      </c>
      <c r="G93" s="11" t="s">
        <v>125</v>
      </c>
      <c r="H93" s="13" t="s">
        <v>85</v>
      </c>
      <c r="I93" s="11"/>
      <c r="J93" s="11"/>
      <c r="K93" s="11"/>
      <c r="L93" s="11"/>
      <c r="M93" s="11"/>
      <c r="N93" s="11"/>
      <c r="O93" s="12"/>
      <c r="P93" s="4" t="s">
        <v>86</v>
      </c>
      <c r="Q93" s="4" t="s">
        <v>87</v>
      </c>
      <c r="R93" s="50" t="s">
        <v>82</v>
      </c>
      <c r="S93" s="3"/>
    </row>
    <row r="94" spans="1:19" ht="14.4" x14ac:dyDescent="0.3">
      <c r="A94" s="9">
        <v>87</v>
      </c>
      <c r="B94" s="14"/>
      <c r="C94" s="10"/>
      <c r="D94" s="10"/>
      <c r="E94" s="10"/>
      <c r="F94" s="27" t="s">
        <v>268</v>
      </c>
      <c r="G94" s="11" t="s">
        <v>125</v>
      </c>
      <c r="H94" s="13" t="s">
        <v>85</v>
      </c>
      <c r="I94" s="11"/>
      <c r="J94" s="11"/>
      <c r="K94" s="11"/>
      <c r="L94" s="11"/>
      <c r="M94" s="11"/>
      <c r="N94" s="11"/>
      <c r="O94" s="12"/>
      <c r="P94" s="4" t="s">
        <v>86</v>
      </c>
      <c r="Q94" s="4" t="s">
        <v>87</v>
      </c>
      <c r="R94" s="157" t="s">
        <v>82</v>
      </c>
      <c r="S94" s="3"/>
    </row>
    <row r="95" spans="1:19" s="20" customFormat="1" ht="14.4" x14ac:dyDescent="0.3">
      <c r="A95" s="9">
        <v>88</v>
      </c>
      <c r="B95" s="32"/>
      <c r="C95" s="32"/>
      <c r="D95" s="32"/>
      <c r="E95" s="32"/>
      <c r="F95" s="28" t="s">
        <v>269</v>
      </c>
      <c r="G95" s="32" t="s">
        <v>101</v>
      </c>
      <c r="H95" s="13" t="s">
        <v>85</v>
      </c>
      <c r="I95" s="11"/>
      <c r="J95" s="11"/>
      <c r="K95" s="32"/>
      <c r="P95" s="4" t="s">
        <v>86</v>
      </c>
      <c r="Q95" s="62" t="s">
        <v>87</v>
      </c>
      <c r="R95" s="10" t="s">
        <v>82</v>
      </c>
    </row>
    <row r="96" spans="1:19" s="20" customFormat="1" ht="14.4" x14ac:dyDescent="0.3">
      <c r="A96" s="9">
        <v>89</v>
      </c>
      <c r="B96" s="32"/>
      <c r="C96" s="32"/>
      <c r="D96" s="32"/>
      <c r="E96" s="32"/>
      <c r="F96" s="28" t="s">
        <v>270</v>
      </c>
      <c r="G96" s="32" t="s">
        <v>125</v>
      </c>
      <c r="H96" s="13" t="s">
        <v>85</v>
      </c>
      <c r="I96" s="11"/>
      <c r="J96" s="11"/>
      <c r="K96" s="32"/>
      <c r="P96" s="4" t="s">
        <v>86</v>
      </c>
      <c r="Q96" s="62" t="s">
        <v>87</v>
      </c>
      <c r="R96" s="10" t="s">
        <v>82</v>
      </c>
    </row>
    <row r="97" spans="1:19" s="20" customFormat="1" ht="14.4" x14ac:dyDescent="0.3">
      <c r="A97" s="9">
        <v>90</v>
      </c>
      <c r="B97" s="32"/>
      <c r="C97" s="32"/>
      <c r="D97" s="32"/>
      <c r="E97" s="32"/>
      <c r="F97" s="28" t="s">
        <v>271</v>
      </c>
      <c r="G97" s="32" t="s">
        <v>152</v>
      </c>
      <c r="H97" s="13" t="s">
        <v>85</v>
      </c>
      <c r="I97" s="11"/>
      <c r="J97" s="11"/>
      <c r="K97" s="32"/>
      <c r="P97" s="4" t="s">
        <v>86</v>
      </c>
      <c r="Q97" s="62" t="s">
        <v>87</v>
      </c>
      <c r="R97" s="10" t="s">
        <v>82</v>
      </c>
    </row>
    <row r="98" spans="1:19" s="20" customFormat="1" ht="14.4" x14ac:dyDescent="0.3">
      <c r="A98" s="9">
        <v>91</v>
      </c>
      <c r="B98" s="32"/>
      <c r="C98" s="32"/>
      <c r="D98" s="32"/>
      <c r="E98" s="32"/>
      <c r="F98" s="28" t="s">
        <v>272</v>
      </c>
      <c r="G98" s="32" t="s">
        <v>125</v>
      </c>
      <c r="H98" s="13" t="s">
        <v>85</v>
      </c>
      <c r="I98" s="11"/>
      <c r="J98" s="11"/>
      <c r="K98" s="32"/>
      <c r="P98" s="4" t="s">
        <v>86</v>
      </c>
      <c r="Q98" s="62" t="s">
        <v>87</v>
      </c>
      <c r="R98" s="10" t="s">
        <v>82</v>
      </c>
    </row>
    <row r="99" spans="1:19" s="20" customFormat="1" ht="14.4" x14ac:dyDescent="0.3">
      <c r="A99" s="9">
        <v>92</v>
      </c>
      <c r="B99" s="32"/>
      <c r="C99" s="32"/>
      <c r="D99" s="32"/>
      <c r="E99" s="32"/>
      <c r="F99" s="28" t="s">
        <v>273</v>
      </c>
      <c r="G99" s="32" t="s">
        <v>125</v>
      </c>
      <c r="H99" s="13" t="s">
        <v>85</v>
      </c>
      <c r="I99" s="11"/>
      <c r="J99" s="11"/>
      <c r="K99" s="32"/>
      <c r="P99" s="4" t="s">
        <v>86</v>
      </c>
      <c r="Q99" s="62" t="s">
        <v>87</v>
      </c>
      <c r="R99" s="10" t="s">
        <v>82</v>
      </c>
    </row>
    <row r="100" spans="1:19" s="20" customFormat="1" ht="14.4" x14ac:dyDescent="0.3">
      <c r="A100" s="9">
        <v>93</v>
      </c>
      <c r="B100" s="32"/>
      <c r="C100" s="32"/>
      <c r="D100" s="32"/>
      <c r="E100" s="32"/>
      <c r="F100" s="28" t="s">
        <v>274</v>
      </c>
      <c r="G100" s="32" t="s">
        <v>101</v>
      </c>
      <c r="H100" s="13" t="s">
        <v>85</v>
      </c>
      <c r="I100" s="11"/>
      <c r="J100" s="11"/>
      <c r="K100" s="32"/>
      <c r="P100" s="4" t="s">
        <v>86</v>
      </c>
      <c r="Q100" s="62" t="s">
        <v>87</v>
      </c>
      <c r="R100" s="10" t="s">
        <v>82</v>
      </c>
    </row>
    <row r="101" spans="1:19" s="20" customFormat="1" ht="14.4" x14ac:dyDescent="0.3">
      <c r="A101" s="9">
        <v>94</v>
      </c>
      <c r="B101" s="32"/>
      <c r="C101" s="32"/>
      <c r="D101" s="32"/>
      <c r="E101" s="32"/>
      <c r="F101" s="28" t="s">
        <v>159</v>
      </c>
      <c r="G101" s="32" t="s">
        <v>152</v>
      </c>
      <c r="H101" s="13" t="s">
        <v>85</v>
      </c>
      <c r="I101" s="11"/>
      <c r="J101" s="11"/>
      <c r="K101" s="32"/>
      <c r="P101" s="4" t="s">
        <v>86</v>
      </c>
      <c r="Q101" s="62" t="s">
        <v>87</v>
      </c>
      <c r="R101" s="10" t="s">
        <v>82</v>
      </c>
    </row>
    <row r="102" spans="1:19" s="20" customFormat="1" ht="14.4" x14ac:dyDescent="0.3">
      <c r="A102" s="9">
        <v>95</v>
      </c>
      <c r="B102" s="32"/>
      <c r="C102" s="32"/>
      <c r="D102" s="32"/>
      <c r="E102" s="32"/>
      <c r="F102" s="28" t="s">
        <v>275</v>
      </c>
      <c r="G102" s="32" t="s">
        <v>17</v>
      </c>
      <c r="H102" s="13" t="s">
        <v>85</v>
      </c>
      <c r="I102" s="11"/>
      <c r="J102" s="11"/>
      <c r="K102" s="32"/>
      <c r="P102" s="4" t="s">
        <v>86</v>
      </c>
      <c r="Q102" s="62" t="s">
        <v>87</v>
      </c>
      <c r="R102" s="10" t="s">
        <v>82</v>
      </c>
    </row>
    <row r="103" spans="1:19" s="20" customFormat="1" ht="14.4" x14ac:dyDescent="0.3">
      <c r="A103" s="9">
        <v>96</v>
      </c>
      <c r="B103" s="32"/>
      <c r="C103" s="32"/>
      <c r="D103" s="32"/>
      <c r="E103" s="32"/>
      <c r="F103" s="28" t="s">
        <v>276</v>
      </c>
      <c r="G103" s="32" t="s">
        <v>125</v>
      </c>
      <c r="H103" s="13" t="s">
        <v>85</v>
      </c>
      <c r="I103" s="11"/>
      <c r="J103" s="11"/>
      <c r="K103" s="32"/>
      <c r="P103" s="4" t="s">
        <v>86</v>
      </c>
      <c r="Q103" s="62" t="s">
        <v>87</v>
      </c>
      <c r="R103" s="10" t="s">
        <v>82</v>
      </c>
    </row>
    <row r="104" spans="1:19" s="20" customFormat="1" ht="14.4" x14ac:dyDescent="0.3">
      <c r="A104" s="9">
        <v>97</v>
      </c>
      <c r="B104" s="32"/>
      <c r="C104" s="32"/>
      <c r="D104" s="32"/>
      <c r="E104" s="32"/>
      <c r="F104" s="28" t="s">
        <v>277</v>
      </c>
      <c r="G104" s="32" t="s">
        <v>17</v>
      </c>
      <c r="H104" s="13" t="s">
        <v>85</v>
      </c>
      <c r="I104" s="11"/>
      <c r="J104" s="11"/>
      <c r="K104" s="32"/>
      <c r="P104" s="4" t="s">
        <v>86</v>
      </c>
      <c r="Q104" s="62" t="s">
        <v>87</v>
      </c>
      <c r="R104" s="10" t="s">
        <v>82</v>
      </c>
    </row>
    <row r="105" spans="1:19" s="20" customFormat="1" ht="14.4" x14ac:dyDescent="0.3">
      <c r="A105" s="9">
        <v>98</v>
      </c>
      <c r="B105" s="32"/>
      <c r="C105" s="32"/>
      <c r="D105" s="32"/>
      <c r="E105" s="32"/>
      <c r="F105" s="28" t="s">
        <v>278</v>
      </c>
      <c r="G105" s="32" t="s">
        <v>125</v>
      </c>
      <c r="H105" s="13" t="s">
        <v>85</v>
      </c>
      <c r="I105" s="11"/>
      <c r="J105" s="11"/>
      <c r="K105" s="32"/>
      <c r="P105" s="4" t="s">
        <v>86</v>
      </c>
      <c r="Q105" s="62" t="s">
        <v>87</v>
      </c>
      <c r="R105" s="10" t="s">
        <v>82</v>
      </c>
    </row>
    <row r="106" spans="1:19" s="20" customFormat="1" ht="14.4" x14ac:dyDescent="0.3">
      <c r="A106" s="9">
        <v>99</v>
      </c>
      <c r="B106" s="32"/>
      <c r="C106" s="32"/>
      <c r="D106" s="32"/>
      <c r="E106" s="32"/>
      <c r="F106" s="28" t="s">
        <v>279</v>
      </c>
      <c r="G106" s="32" t="s">
        <v>152</v>
      </c>
      <c r="H106" s="13" t="s">
        <v>85</v>
      </c>
      <c r="I106" s="11"/>
      <c r="J106" s="11"/>
      <c r="K106" s="32"/>
      <c r="P106" s="4" t="s">
        <v>86</v>
      </c>
      <c r="Q106" s="62" t="s">
        <v>87</v>
      </c>
      <c r="R106" s="10" t="s">
        <v>82</v>
      </c>
    </row>
    <row r="107" spans="1:19" s="20" customFormat="1" ht="14.4" x14ac:dyDescent="0.3">
      <c r="A107" s="9">
        <v>100</v>
      </c>
      <c r="B107" s="32"/>
      <c r="C107" s="32"/>
      <c r="D107" s="32"/>
      <c r="E107" s="32"/>
      <c r="F107" s="28" t="s">
        <v>280</v>
      </c>
      <c r="G107" s="32" t="s">
        <v>152</v>
      </c>
      <c r="H107" s="13" t="s">
        <v>85</v>
      </c>
      <c r="I107" s="11"/>
      <c r="J107" s="11"/>
      <c r="K107" s="32"/>
      <c r="P107" s="4" t="s">
        <v>86</v>
      </c>
      <c r="Q107" s="62" t="s">
        <v>87</v>
      </c>
      <c r="R107" s="10" t="s">
        <v>82</v>
      </c>
    </row>
    <row r="108" spans="1:19" s="20" customFormat="1" ht="14.4" x14ac:dyDescent="0.3">
      <c r="A108" s="9">
        <v>101</v>
      </c>
      <c r="B108" s="32"/>
      <c r="C108" s="32"/>
      <c r="D108" s="32"/>
      <c r="E108" s="32"/>
      <c r="F108" s="28" t="s">
        <v>281</v>
      </c>
      <c r="G108" s="32" t="s">
        <v>152</v>
      </c>
      <c r="H108" s="13" t="s">
        <v>85</v>
      </c>
      <c r="I108" s="11"/>
      <c r="J108" s="11"/>
      <c r="K108" s="32"/>
      <c r="P108" s="4" t="s">
        <v>86</v>
      </c>
      <c r="Q108" s="62" t="s">
        <v>87</v>
      </c>
      <c r="R108" s="10" t="s">
        <v>82</v>
      </c>
    </row>
    <row r="109" spans="1:19" s="20" customFormat="1" ht="14.4" x14ac:dyDescent="0.3">
      <c r="A109" s="9">
        <v>102</v>
      </c>
      <c r="B109" s="32"/>
      <c r="C109" s="32"/>
      <c r="D109" s="32"/>
      <c r="E109" s="32"/>
      <c r="F109" s="28" t="s">
        <v>282</v>
      </c>
      <c r="G109" s="32" t="s">
        <v>152</v>
      </c>
      <c r="H109" s="13" t="s">
        <v>85</v>
      </c>
      <c r="I109" s="32"/>
      <c r="J109" s="32"/>
      <c r="K109" s="32"/>
      <c r="P109" s="4" t="s">
        <v>86</v>
      </c>
      <c r="Q109" s="62" t="s">
        <v>87</v>
      </c>
      <c r="R109" s="10" t="s">
        <v>82</v>
      </c>
    </row>
    <row r="110" spans="1:19" s="20" customFormat="1" ht="14.4" x14ac:dyDescent="0.3">
      <c r="A110" s="9">
        <v>103</v>
      </c>
      <c r="B110" s="32"/>
      <c r="C110" s="32"/>
      <c r="D110" s="32"/>
      <c r="E110" s="32"/>
      <c r="F110" s="28" t="s">
        <v>283</v>
      </c>
      <c r="G110" s="32" t="s">
        <v>125</v>
      </c>
      <c r="H110" s="13" t="s">
        <v>85</v>
      </c>
      <c r="I110" s="32"/>
      <c r="J110" s="32"/>
      <c r="K110" s="32"/>
      <c r="P110" s="4" t="s">
        <v>86</v>
      </c>
      <c r="Q110" s="62" t="s">
        <v>87</v>
      </c>
      <c r="R110" s="10" t="s">
        <v>82</v>
      </c>
    </row>
    <row r="111" spans="1:19" ht="14.4" x14ac:dyDescent="0.3">
      <c r="A111" s="9">
        <v>104</v>
      </c>
      <c r="B111" s="14"/>
      <c r="C111" s="10"/>
      <c r="D111" s="10"/>
      <c r="E111" s="10"/>
      <c r="F111" s="27" t="s">
        <v>284</v>
      </c>
      <c r="G111" s="11" t="s">
        <v>125</v>
      </c>
      <c r="H111" s="13" t="s">
        <v>85</v>
      </c>
      <c r="I111" s="11"/>
      <c r="J111" s="11"/>
      <c r="K111" s="11"/>
      <c r="L111" s="11"/>
      <c r="M111" s="11"/>
      <c r="N111" s="11"/>
      <c r="O111" s="12"/>
      <c r="P111" s="4" t="s">
        <v>86</v>
      </c>
      <c r="Q111" s="4" t="s">
        <v>87</v>
      </c>
      <c r="R111" s="159" t="s">
        <v>82</v>
      </c>
      <c r="S111" s="3"/>
    </row>
    <row r="112" spans="1:19" ht="14.4" x14ac:dyDescent="0.3">
      <c r="A112" s="9">
        <v>105</v>
      </c>
      <c r="B112" s="14" t="s">
        <v>285</v>
      </c>
      <c r="C112" s="14"/>
      <c r="D112" s="14"/>
      <c r="E112" s="14"/>
      <c r="F112" s="27" t="s">
        <v>286</v>
      </c>
      <c r="G112" s="11" t="s">
        <v>101</v>
      </c>
      <c r="H112" s="13" t="s">
        <v>85</v>
      </c>
      <c r="I112" s="4" t="s">
        <v>287</v>
      </c>
      <c r="J112" s="4" t="s">
        <v>287</v>
      </c>
      <c r="K112" s="4"/>
      <c r="L112" s="4"/>
      <c r="M112" s="9" t="s">
        <v>82</v>
      </c>
      <c r="N112" s="4"/>
      <c r="O112" s="68" t="s">
        <v>288</v>
      </c>
      <c r="P112" s="4"/>
      <c r="Q112" s="4"/>
      <c r="R112" s="50" t="s">
        <v>82</v>
      </c>
      <c r="S112" s="3"/>
    </row>
    <row r="113" spans="1:19" ht="14.4" x14ac:dyDescent="0.3">
      <c r="A113" s="9">
        <v>106</v>
      </c>
      <c r="B113" s="14" t="s">
        <v>285</v>
      </c>
      <c r="C113" s="14"/>
      <c r="D113" s="14"/>
      <c r="E113" s="14"/>
      <c r="F113" s="27" t="s">
        <v>289</v>
      </c>
      <c r="G113" s="11" t="s">
        <v>101</v>
      </c>
      <c r="H113" s="13" t="s">
        <v>85</v>
      </c>
      <c r="I113" s="4" t="s">
        <v>290</v>
      </c>
      <c r="J113" s="4" t="s">
        <v>290</v>
      </c>
      <c r="K113" s="4"/>
      <c r="L113" s="4"/>
      <c r="M113" s="9" t="s">
        <v>82</v>
      </c>
      <c r="N113" s="4"/>
      <c r="O113" s="68" t="s">
        <v>291</v>
      </c>
      <c r="P113" s="4"/>
      <c r="Q113" s="4"/>
      <c r="R113" s="50" t="s">
        <v>82</v>
      </c>
      <c r="S113" s="3"/>
    </row>
    <row r="114" spans="1:19" ht="28.8" x14ac:dyDescent="0.3">
      <c r="A114" s="9">
        <v>107</v>
      </c>
      <c r="B114" s="14" t="s">
        <v>285</v>
      </c>
      <c r="C114" s="14"/>
      <c r="D114" s="14"/>
      <c r="E114" s="14"/>
      <c r="F114" s="27" t="s">
        <v>292</v>
      </c>
      <c r="G114" s="11" t="s">
        <v>101</v>
      </c>
      <c r="H114" s="13" t="s">
        <v>85</v>
      </c>
      <c r="I114" s="4" t="s">
        <v>293</v>
      </c>
      <c r="J114" s="4" t="s">
        <v>293</v>
      </c>
      <c r="K114" s="4"/>
      <c r="L114" s="4"/>
      <c r="M114" s="4"/>
      <c r="N114" s="4"/>
      <c r="O114" s="3"/>
      <c r="P114" s="4"/>
      <c r="Q114" s="4"/>
      <c r="R114" s="50" t="s">
        <v>82</v>
      </c>
      <c r="S114" s="3"/>
    </row>
    <row r="115" spans="1:19" ht="14.4" x14ac:dyDescent="0.3">
      <c r="A115" s="9">
        <v>108</v>
      </c>
      <c r="B115" s="14" t="s">
        <v>294</v>
      </c>
      <c r="C115" s="14"/>
      <c r="D115" s="14"/>
      <c r="E115" s="14"/>
      <c r="F115" s="27" t="s">
        <v>295</v>
      </c>
      <c r="G115" s="11" t="s">
        <v>125</v>
      </c>
      <c r="H115" s="13" t="s">
        <v>85</v>
      </c>
      <c r="I115" s="4"/>
      <c r="J115" s="4"/>
      <c r="K115" s="4"/>
      <c r="L115" s="4"/>
      <c r="M115" s="4"/>
      <c r="N115" s="4"/>
      <c r="O115" s="3"/>
      <c r="P115" s="4"/>
      <c r="Q115" s="4"/>
      <c r="R115" s="50" t="s">
        <v>82</v>
      </c>
      <c r="S115" s="3"/>
    </row>
    <row r="116" spans="1:19" ht="14.4" x14ac:dyDescent="0.3">
      <c r="A116" s="9">
        <v>109</v>
      </c>
      <c r="B116" s="14" t="s">
        <v>294</v>
      </c>
      <c r="C116" s="14"/>
      <c r="D116" s="14"/>
      <c r="E116" s="14"/>
      <c r="F116" s="27" t="s">
        <v>296</v>
      </c>
      <c r="G116" s="11" t="s">
        <v>101</v>
      </c>
      <c r="H116" s="13" t="s">
        <v>85</v>
      </c>
      <c r="I116" s="4"/>
      <c r="J116" s="4"/>
      <c r="K116" s="4"/>
      <c r="L116" s="4"/>
      <c r="M116" s="9" t="s">
        <v>82</v>
      </c>
      <c r="N116" s="4"/>
      <c r="O116" s="68" t="s">
        <v>297</v>
      </c>
      <c r="P116" s="4"/>
      <c r="Q116" s="4"/>
      <c r="R116" s="50" t="s">
        <v>82</v>
      </c>
      <c r="S116" s="3"/>
    </row>
    <row r="117" spans="1:19" ht="14.4" x14ac:dyDescent="0.3">
      <c r="A117" s="9">
        <v>110</v>
      </c>
      <c r="B117" s="14" t="s">
        <v>294</v>
      </c>
      <c r="C117" s="14"/>
      <c r="D117" s="14"/>
      <c r="E117" s="14"/>
      <c r="F117" s="27" t="s">
        <v>298</v>
      </c>
      <c r="G117" s="11" t="s">
        <v>152</v>
      </c>
      <c r="H117" s="13" t="s">
        <v>85</v>
      </c>
      <c r="I117" s="4"/>
      <c r="J117" s="4"/>
      <c r="K117" s="4"/>
      <c r="L117" s="4"/>
      <c r="M117" s="4"/>
      <c r="N117" s="4"/>
      <c r="O117" s="3"/>
      <c r="P117" s="4"/>
      <c r="Q117" s="4"/>
      <c r="R117" s="50" t="s">
        <v>82</v>
      </c>
      <c r="S117" s="3"/>
    </row>
    <row r="118" spans="1:19" ht="14.4" x14ac:dyDescent="0.3">
      <c r="A118" s="9">
        <v>111</v>
      </c>
      <c r="B118" s="14" t="s">
        <v>294</v>
      </c>
      <c r="C118" s="14"/>
      <c r="D118" s="14"/>
      <c r="E118" s="14"/>
      <c r="F118" s="27" t="s">
        <v>299</v>
      </c>
      <c r="G118" s="11" t="s">
        <v>101</v>
      </c>
      <c r="H118" s="13" t="s">
        <v>85</v>
      </c>
      <c r="I118" s="4"/>
      <c r="J118" s="4"/>
      <c r="K118" s="4"/>
      <c r="L118" s="4"/>
      <c r="M118" s="9" t="s">
        <v>82</v>
      </c>
      <c r="N118" s="4"/>
      <c r="O118" s="68" t="s">
        <v>300</v>
      </c>
      <c r="P118" s="4"/>
      <c r="Q118" s="4"/>
      <c r="R118" s="50" t="s">
        <v>82</v>
      </c>
      <c r="S118" s="3"/>
    </row>
    <row r="119" spans="1:19" ht="14.4" x14ac:dyDescent="0.3">
      <c r="A119" s="9">
        <v>112</v>
      </c>
      <c r="B119" s="14" t="s">
        <v>294</v>
      </c>
      <c r="C119" s="14"/>
      <c r="D119" s="14"/>
      <c r="E119" s="14"/>
      <c r="F119" s="27" t="s">
        <v>301</v>
      </c>
      <c r="G119" s="11" t="s">
        <v>101</v>
      </c>
      <c r="H119" s="13" t="s">
        <v>85</v>
      </c>
      <c r="I119" s="4" t="s">
        <v>302</v>
      </c>
      <c r="J119" s="4" t="s">
        <v>302</v>
      </c>
      <c r="K119" s="4"/>
      <c r="L119" s="9" t="s">
        <v>85</v>
      </c>
      <c r="M119" s="9" t="s">
        <v>82</v>
      </c>
      <c r="N119" s="4"/>
      <c r="O119" s="68" t="s">
        <v>303</v>
      </c>
      <c r="P119" s="4"/>
      <c r="Q119" s="4"/>
      <c r="R119" s="50" t="s">
        <v>82</v>
      </c>
      <c r="S119" s="3"/>
    </row>
    <row r="120" spans="1:19" ht="14.4" x14ac:dyDescent="0.3">
      <c r="A120" s="9">
        <v>113</v>
      </c>
      <c r="B120" s="14" t="s">
        <v>294</v>
      </c>
      <c r="C120" s="14"/>
      <c r="D120" s="14"/>
      <c r="E120" s="14"/>
      <c r="F120" s="27" t="s">
        <v>177</v>
      </c>
      <c r="G120" s="11" t="s">
        <v>101</v>
      </c>
      <c r="H120" s="13" t="s">
        <v>85</v>
      </c>
      <c r="I120" s="4"/>
      <c r="J120" s="4"/>
      <c r="K120" s="4"/>
      <c r="L120" s="4"/>
      <c r="M120" s="9" t="s">
        <v>82</v>
      </c>
      <c r="N120" s="4"/>
      <c r="O120" s="68" t="s">
        <v>304</v>
      </c>
      <c r="P120" s="4"/>
      <c r="Q120" s="4"/>
      <c r="R120" s="50" t="s">
        <v>82</v>
      </c>
      <c r="S120" s="3"/>
    </row>
    <row r="121" spans="1:19" ht="14.4" x14ac:dyDescent="0.3">
      <c r="A121" s="9">
        <v>114</v>
      </c>
      <c r="B121" s="14" t="s">
        <v>294</v>
      </c>
      <c r="C121" s="14"/>
      <c r="D121" s="14"/>
      <c r="E121" s="14"/>
      <c r="F121" s="27" t="s">
        <v>305</v>
      </c>
      <c r="G121" s="11" t="s">
        <v>101</v>
      </c>
      <c r="H121" s="13" t="s">
        <v>85</v>
      </c>
      <c r="I121" s="4"/>
      <c r="J121" s="4"/>
      <c r="K121" s="4"/>
      <c r="L121" s="4"/>
      <c r="M121" s="9" t="s">
        <v>82</v>
      </c>
      <c r="N121" s="4"/>
      <c r="O121" s="68" t="s">
        <v>306</v>
      </c>
      <c r="P121" s="4"/>
      <c r="Q121" s="4"/>
      <c r="R121" s="50" t="s">
        <v>82</v>
      </c>
      <c r="S121" s="3"/>
    </row>
    <row r="122" spans="1:19" ht="14.4" x14ac:dyDescent="0.3">
      <c r="A122" s="9">
        <v>115</v>
      </c>
      <c r="B122" s="14" t="s">
        <v>294</v>
      </c>
      <c r="C122" s="14"/>
      <c r="D122" s="14"/>
      <c r="E122" s="14"/>
      <c r="F122" s="27" t="s">
        <v>307</v>
      </c>
      <c r="G122" s="11" t="s">
        <v>101</v>
      </c>
      <c r="H122" s="13" t="s">
        <v>85</v>
      </c>
      <c r="I122" s="4"/>
      <c r="J122" s="4"/>
      <c r="K122" s="4"/>
      <c r="L122" s="4"/>
      <c r="M122" s="9" t="s">
        <v>82</v>
      </c>
      <c r="N122" s="4"/>
      <c r="O122" s="68" t="s">
        <v>306</v>
      </c>
      <c r="P122" s="4"/>
      <c r="Q122" s="4"/>
      <c r="R122" s="50" t="s">
        <v>82</v>
      </c>
      <c r="S122" s="3"/>
    </row>
    <row r="123" spans="1:19" ht="43.2" x14ac:dyDescent="0.3">
      <c r="A123" s="9">
        <v>116</v>
      </c>
      <c r="B123" s="14" t="s">
        <v>308</v>
      </c>
      <c r="C123" s="14"/>
      <c r="D123" s="14"/>
      <c r="E123" s="14"/>
      <c r="F123" s="49" t="s">
        <v>309</v>
      </c>
      <c r="G123" s="11" t="s">
        <v>101</v>
      </c>
      <c r="H123" s="13" t="s">
        <v>85</v>
      </c>
      <c r="I123" s="4" t="s">
        <v>310</v>
      </c>
      <c r="J123" s="4" t="s">
        <v>310</v>
      </c>
      <c r="K123" s="4"/>
      <c r="L123" s="4"/>
      <c r="M123" s="4"/>
      <c r="N123" s="4"/>
      <c r="O123" s="3"/>
      <c r="P123" s="4"/>
      <c r="Q123" s="4"/>
      <c r="R123" s="50" t="s">
        <v>82</v>
      </c>
      <c r="S123" s="3"/>
    </row>
    <row r="124" spans="1:19" ht="28.8" x14ac:dyDescent="0.3">
      <c r="A124" s="9">
        <v>117</v>
      </c>
      <c r="B124" s="14" t="s">
        <v>308</v>
      </c>
      <c r="C124" s="14"/>
      <c r="D124" s="14"/>
      <c r="E124" s="14"/>
      <c r="F124" s="49" t="s">
        <v>147</v>
      </c>
      <c r="G124" s="11" t="s">
        <v>101</v>
      </c>
      <c r="H124" s="13" t="s">
        <v>85</v>
      </c>
      <c r="I124" s="4" t="s">
        <v>311</v>
      </c>
      <c r="J124" s="4" t="s">
        <v>311</v>
      </c>
      <c r="K124" s="4"/>
      <c r="L124" s="9" t="s">
        <v>85</v>
      </c>
      <c r="M124" s="9" t="s">
        <v>82</v>
      </c>
      <c r="N124" s="4"/>
      <c r="O124" s="68" t="s">
        <v>300</v>
      </c>
      <c r="P124" s="4"/>
      <c r="Q124" s="4"/>
      <c r="R124" s="50" t="s">
        <v>82</v>
      </c>
      <c r="S124" s="3"/>
    </row>
    <row r="125" spans="1:19" ht="43.2" x14ac:dyDescent="0.3">
      <c r="A125" s="9">
        <v>118</v>
      </c>
      <c r="B125" s="14" t="s">
        <v>308</v>
      </c>
      <c r="C125" s="14"/>
      <c r="D125" s="14"/>
      <c r="E125" s="14"/>
      <c r="F125" s="49" t="s">
        <v>186</v>
      </c>
      <c r="G125" s="4" t="s">
        <v>81</v>
      </c>
      <c r="H125" s="13" t="s">
        <v>85</v>
      </c>
      <c r="I125" s="4" t="s">
        <v>312</v>
      </c>
      <c r="J125" s="4" t="s">
        <v>312</v>
      </c>
      <c r="K125" s="4" t="s">
        <v>313</v>
      </c>
      <c r="L125" s="4"/>
      <c r="M125" s="4"/>
      <c r="N125" s="4"/>
      <c r="O125" s="3"/>
      <c r="P125" s="4"/>
      <c r="Q125" s="4"/>
      <c r="R125" s="50" t="s">
        <v>82</v>
      </c>
      <c r="S125" s="3"/>
    </row>
    <row r="126" spans="1:19" ht="14.4" x14ac:dyDescent="0.3">
      <c r="A126" s="9">
        <v>119</v>
      </c>
      <c r="B126" s="14" t="s">
        <v>314</v>
      </c>
      <c r="C126" s="14"/>
      <c r="D126" s="14"/>
      <c r="E126" s="14"/>
      <c r="F126" s="49" t="s">
        <v>315</v>
      </c>
      <c r="G126" s="4" t="s">
        <v>101</v>
      </c>
      <c r="H126" s="13" t="s">
        <v>85</v>
      </c>
      <c r="I126" s="17" t="s">
        <v>316</v>
      </c>
      <c r="J126" s="17" t="s">
        <v>316</v>
      </c>
      <c r="K126" s="17"/>
      <c r="L126" s="4"/>
      <c r="M126" s="4"/>
      <c r="N126" s="4"/>
      <c r="O126" s="3"/>
      <c r="P126" s="4"/>
      <c r="Q126" s="4"/>
      <c r="R126" s="50" t="s">
        <v>82</v>
      </c>
      <c r="S126" s="3"/>
    </row>
    <row r="127" spans="1:19" ht="14.4" x14ac:dyDescent="0.3">
      <c r="A127" s="9">
        <v>120</v>
      </c>
      <c r="B127" s="14" t="s">
        <v>314</v>
      </c>
      <c r="C127" s="14"/>
      <c r="D127" s="14"/>
      <c r="E127" s="14"/>
      <c r="F127" s="49" t="s">
        <v>186</v>
      </c>
      <c r="G127" s="17" t="s">
        <v>152</v>
      </c>
      <c r="H127" s="13" t="s">
        <v>85</v>
      </c>
      <c r="I127" s="17" t="s">
        <v>317</v>
      </c>
      <c r="J127" s="17" t="s">
        <v>317</v>
      </c>
      <c r="K127" s="17"/>
      <c r="L127" s="4"/>
      <c r="M127" s="4"/>
      <c r="N127" s="4"/>
      <c r="O127" s="3"/>
      <c r="P127" s="4"/>
      <c r="Q127" s="4"/>
      <c r="R127" s="157" t="s">
        <v>82</v>
      </c>
      <c r="S127" s="3"/>
    </row>
    <row r="128" spans="1:19" ht="172.8" x14ac:dyDescent="0.3">
      <c r="A128" s="9">
        <v>121</v>
      </c>
      <c r="B128" s="14" t="s">
        <v>318</v>
      </c>
      <c r="C128" s="14"/>
      <c r="D128" s="14"/>
      <c r="E128" s="61" t="s">
        <v>319</v>
      </c>
      <c r="F128" s="16" t="s">
        <v>109</v>
      </c>
      <c r="G128" s="4" t="s">
        <v>95</v>
      </c>
      <c r="H128" s="13" t="s">
        <v>85</v>
      </c>
      <c r="I128" s="4" t="s">
        <v>320</v>
      </c>
      <c r="J128" s="4" t="s">
        <v>320</v>
      </c>
      <c r="K128" s="17"/>
      <c r="L128" s="4"/>
      <c r="M128" s="4"/>
      <c r="N128" s="4"/>
      <c r="O128" s="3"/>
      <c r="P128" s="4"/>
      <c r="Q128" s="62"/>
      <c r="R128" s="13" t="s">
        <v>85</v>
      </c>
      <c r="S128" s="156"/>
    </row>
    <row r="129" spans="1:19" ht="14.4" x14ac:dyDescent="0.3">
      <c r="A129" s="9">
        <v>122</v>
      </c>
      <c r="B129" s="14" t="s">
        <v>318</v>
      </c>
      <c r="C129" s="14"/>
      <c r="D129" s="14"/>
      <c r="E129" s="61" t="s">
        <v>319</v>
      </c>
      <c r="F129" s="4" t="s">
        <v>111</v>
      </c>
      <c r="G129" s="4" t="s">
        <v>98</v>
      </c>
      <c r="H129" s="13" t="s">
        <v>85</v>
      </c>
      <c r="I129" s="93" t="s">
        <v>321</v>
      </c>
      <c r="J129" s="93" t="s">
        <v>321</v>
      </c>
      <c r="K129" s="4"/>
      <c r="L129" s="9" t="s">
        <v>85</v>
      </c>
      <c r="M129" s="4"/>
      <c r="N129" s="4"/>
      <c r="O129" s="3"/>
      <c r="P129" s="4"/>
      <c r="Q129" s="4"/>
      <c r="R129" s="159" t="s">
        <v>82</v>
      </c>
      <c r="S129" s="3"/>
    </row>
    <row r="130" spans="1:19" ht="28.8" x14ac:dyDescent="0.3">
      <c r="A130" s="9">
        <v>123</v>
      </c>
      <c r="B130" s="14" t="s">
        <v>318</v>
      </c>
      <c r="C130" s="14"/>
      <c r="D130" s="14"/>
      <c r="E130" s="14"/>
      <c r="F130" s="49" t="s">
        <v>322</v>
      </c>
      <c r="G130" s="17" t="s">
        <v>152</v>
      </c>
      <c r="H130" s="13" t="s">
        <v>85</v>
      </c>
      <c r="I130" s="4" t="s">
        <v>323</v>
      </c>
      <c r="J130" s="4" t="s">
        <v>323</v>
      </c>
      <c r="K130" s="4"/>
      <c r="L130" s="4"/>
      <c r="M130" s="4"/>
      <c r="N130" s="4"/>
      <c r="O130" s="3"/>
      <c r="P130" s="4"/>
      <c r="Q130" s="4"/>
      <c r="R130" s="50" t="s">
        <v>82</v>
      </c>
      <c r="S130" s="3"/>
    </row>
    <row r="131" spans="1:19" ht="72" x14ac:dyDescent="0.3">
      <c r="A131" s="9">
        <v>124</v>
      </c>
      <c r="B131" s="14" t="s">
        <v>324</v>
      </c>
      <c r="C131" s="14"/>
      <c r="D131" s="14"/>
      <c r="E131" s="14"/>
      <c r="F131" s="49" t="s">
        <v>325</v>
      </c>
      <c r="G131" s="17" t="s">
        <v>101</v>
      </c>
      <c r="H131" s="13" t="s">
        <v>85</v>
      </c>
      <c r="I131" s="4" t="s">
        <v>326</v>
      </c>
      <c r="J131" s="4" t="s">
        <v>326</v>
      </c>
      <c r="K131" s="4"/>
      <c r="L131" s="4"/>
      <c r="M131" s="4"/>
      <c r="N131" s="4"/>
      <c r="O131" s="3"/>
      <c r="P131" s="4"/>
      <c r="Q131" s="4"/>
      <c r="R131" s="50" t="s">
        <v>82</v>
      </c>
      <c r="S131" s="3"/>
    </row>
    <row r="132" spans="1:19" ht="57.6" x14ac:dyDescent="0.3">
      <c r="A132" s="9">
        <v>125</v>
      </c>
      <c r="B132" s="14" t="s">
        <v>324</v>
      </c>
      <c r="C132" s="14"/>
      <c r="D132" s="14"/>
      <c r="E132" s="14"/>
      <c r="F132" s="49" t="s">
        <v>88</v>
      </c>
      <c r="G132" s="17" t="s">
        <v>17</v>
      </c>
      <c r="H132" s="13" t="s">
        <v>85</v>
      </c>
      <c r="I132" s="4" t="s">
        <v>327</v>
      </c>
      <c r="J132" s="4" t="s">
        <v>327</v>
      </c>
      <c r="K132" s="4"/>
      <c r="L132" s="4"/>
      <c r="M132" s="4"/>
      <c r="N132" s="4"/>
      <c r="O132" s="3"/>
      <c r="P132" s="4"/>
      <c r="Q132" s="4"/>
      <c r="R132" s="50" t="s">
        <v>82</v>
      </c>
      <c r="S132" s="3"/>
    </row>
    <row r="133" spans="1:19" ht="43.2" x14ac:dyDescent="0.3">
      <c r="A133" s="9">
        <v>126</v>
      </c>
      <c r="B133" s="14" t="s">
        <v>324</v>
      </c>
      <c r="C133" s="14"/>
      <c r="D133" s="14"/>
      <c r="E133" s="14"/>
      <c r="F133" s="49" t="s">
        <v>138</v>
      </c>
      <c r="G133" s="17" t="s">
        <v>17</v>
      </c>
      <c r="H133" s="13" t="s">
        <v>85</v>
      </c>
      <c r="I133" s="4" t="s">
        <v>328</v>
      </c>
      <c r="J133" s="4" t="s">
        <v>328</v>
      </c>
      <c r="K133" s="4"/>
      <c r="L133" s="4"/>
      <c r="M133" s="4"/>
      <c r="N133" s="4"/>
      <c r="O133" s="3"/>
      <c r="P133" s="4"/>
      <c r="Q133" s="4"/>
      <c r="R133" s="50" t="s">
        <v>82</v>
      </c>
      <c r="S133" s="3"/>
    </row>
    <row r="134" spans="1:19" ht="43.2" x14ac:dyDescent="0.3">
      <c r="A134" s="9">
        <v>127</v>
      </c>
      <c r="B134" s="14" t="s">
        <v>324</v>
      </c>
      <c r="C134" s="14"/>
      <c r="D134" s="14"/>
      <c r="E134" s="14"/>
      <c r="F134" s="49" t="s">
        <v>329</v>
      </c>
      <c r="G134" s="17" t="s">
        <v>125</v>
      </c>
      <c r="H134" s="13" t="s">
        <v>85</v>
      </c>
      <c r="I134" s="4" t="s">
        <v>330</v>
      </c>
      <c r="J134" s="4" t="s">
        <v>330</v>
      </c>
      <c r="K134" s="4"/>
      <c r="L134" s="4"/>
      <c r="M134" s="4"/>
      <c r="N134" s="4"/>
      <c r="O134" s="3"/>
      <c r="P134" s="4"/>
      <c r="Q134" s="4"/>
      <c r="R134" s="50" t="s">
        <v>82</v>
      </c>
      <c r="S134" s="3"/>
    </row>
    <row r="135" spans="1:19" ht="14.4" x14ac:dyDescent="0.3">
      <c r="A135" s="9">
        <v>128</v>
      </c>
      <c r="B135" s="14" t="s">
        <v>331</v>
      </c>
      <c r="C135" s="14"/>
      <c r="D135" s="14"/>
      <c r="E135" s="14"/>
      <c r="F135" s="49" t="s">
        <v>332</v>
      </c>
      <c r="G135" s="17" t="s">
        <v>101</v>
      </c>
      <c r="H135" s="13" t="s">
        <v>85</v>
      </c>
      <c r="I135" s="4" t="s">
        <v>333</v>
      </c>
      <c r="J135" s="4" t="s">
        <v>333</v>
      </c>
      <c r="K135" s="4"/>
      <c r="L135" s="4"/>
      <c r="M135" s="9" t="s">
        <v>82</v>
      </c>
      <c r="N135" s="4"/>
      <c r="O135" s="68" t="s">
        <v>334</v>
      </c>
      <c r="P135" s="4"/>
      <c r="Q135" s="4"/>
      <c r="R135" s="50" t="s">
        <v>82</v>
      </c>
      <c r="S135" s="3"/>
    </row>
    <row r="136" spans="1:19" ht="28.8" x14ac:dyDescent="0.3">
      <c r="A136" s="9">
        <v>129</v>
      </c>
      <c r="B136" s="14" t="s">
        <v>331</v>
      </c>
      <c r="C136" s="14"/>
      <c r="D136" s="14"/>
      <c r="E136" s="14"/>
      <c r="F136" s="49" t="s">
        <v>335</v>
      </c>
      <c r="G136" s="17" t="s">
        <v>101</v>
      </c>
      <c r="H136" s="13" t="s">
        <v>85</v>
      </c>
      <c r="I136" s="4" t="s">
        <v>336</v>
      </c>
      <c r="J136" s="4" t="s">
        <v>336</v>
      </c>
      <c r="K136" s="4"/>
      <c r="L136" s="4"/>
      <c r="M136" s="9" t="s">
        <v>82</v>
      </c>
      <c r="N136" s="4"/>
      <c r="O136" s="68" t="s">
        <v>297</v>
      </c>
      <c r="P136" s="4"/>
      <c r="Q136" s="4"/>
      <c r="R136" s="50" t="s">
        <v>82</v>
      </c>
      <c r="S136" s="3"/>
    </row>
    <row r="137" spans="1:19" ht="14.4" x14ac:dyDescent="0.3">
      <c r="A137" s="9">
        <v>130</v>
      </c>
      <c r="B137" s="14" t="s">
        <v>331</v>
      </c>
      <c r="C137" s="14"/>
      <c r="D137" s="14"/>
      <c r="E137" s="14"/>
      <c r="F137" s="49" t="s">
        <v>177</v>
      </c>
      <c r="G137" s="17" t="s">
        <v>101</v>
      </c>
      <c r="H137" s="13" t="s">
        <v>85</v>
      </c>
      <c r="I137" s="4" t="s">
        <v>337</v>
      </c>
      <c r="J137" s="4" t="s">
        <v>337</v>
      </c>
      <c r="K137" s="4"/>
      <c r="L137" s="4"/>
      <c r="M137" s="9" t="s">
        <v>82</v>
      </c>
      <c r="N137" s="4"/>
      <c r="O137" s="68" t="s">
        <v>306</v>
      </c>
      <c r="P137" s="4"/>
      <c r="Q137" s="4"/>
      <c r="R137" s="50" t="s">
        <v>82</v>
      </c>
      <c r="S137" s="3"/>
    </row>
    <row r="138" spans="1:19" ht="57.6" x14ac:dyDescent="0.3">
      <c r="A138" s="9">
        <v>131</v>
      </c>
      <c r="B138" s="14" t="s">
        <v>331</v>
      </c>
      <c r="C138" s="14"/>
      <c r="D138" s="14"/>
      <c r="E138" s="14"/>
      <c r="F138" s="49" t="s">
        <v>338</v>
      </c>
      <c r="G138" s="17" t="s">
        <v>81</v>
      </c>
      <c r="H138" s="13" t="s">
        <v>85</v>
      </c>
      <c r="I138" s="4" t="s">
        <v>339</v>
      </c>
      <c r="J138" s="4" t="s">
        <v>339</v>
      </c>
      <c r="K138" s="4"/>
      <c r="L138" s="4"/>
      <c r="M138" s="9" t="s">
        <v>82</v>
      </c>
      <c r="N138" s="4"/>
      <c r="O138" s="68" t="s">
        <v>340</v>
      </c>
      <c r="P138" s="4"/>
      <c r="Q138" s="4"/>
      <c r="R138" s="50" t="s">
        <v>82</v>
      </c>
      <c r="S138" s="3"/>
    </row>
    <row r="139" spans="1:19" ht="28.8" x14ac:dyDescent="0.3">
      <c r="A139" s="9">
        <v>132</v>
      </c>
      <c r="B139" s="14" t="s">
        <v>331</v>
      </c>
      <c r="C139" s="14"/>
      <c r="D139" s="14"/>
      <c r="E139" s="14"/>
      <c r="F139" s="49" t="s">
        <v>341</v>
      </c>
      <c r="G139" s="17" t="s">
        <v>81</v>
      </c>
      <c r="H139" s="13" t="s">
        <v>85</v>
      </c>
      <c r="I139" s="4" t="s">
        <v>342</v>
      </c>
      <c r="J139" s="4" t="s">
        <v>342</v>
      </c>
      <c r="K139" s="4"/>
      <c r="L139" s="4"/>
      <c r="M139" s="9" t="s">
        <v>82</v>
      </c>
      <c r="N139" s="4"/>
      <c r="O139" s="68" t="s">
        <v>343</v>
      </c>
      <c r="P139" s="4"/>
      <c r="Q139" s="4"/>
      <c r="R139" s="50" t="s">
        <v>82</v>
      </c>
      <c r="S139" s="3"/>
    </row>
    <row r="140" spans="1:19" ht="14.4" x14ac:dyDescent="0.3">
      <c r="A140" s="9">
        <v>133</v>
      </c>
      <c r="B140" s="14" t="s">
        <v>331</v>
      </c>
      <c r="C140" s="14"/>
      <c r="D140" s="14"/>
      <c r="E140" s="14"/>
      <c r="F140" s="49" t="s">
        <v>344</v>
      </c>
      <c r="G140" s="17" t="s">
        <v>101</v>
      </c>
      <c r="H140" s="13" t="s">
        <v>85</v>
      </c>
      <c r="I140" s="4" t="s">
        <v>345</v>
      </c>
      <c r="J140" s="4" t="s">
        <v>345</v>
      </c>
      <c r="K140" s="4"/>
      <c r="L140" s="4"/>
      <c r="M140" s="4"/>
      <c r="N140" s="4"/>
      <c r="O140" s="3"/>
      <c r="P140" s="4"/>
      <c r="Q140" s="4"/>
      <c r="R140" s="50" t="s">
        <v>82</v>
      </c>
      <c r="S140" s="3"/>
    </row>
    <row r="141" spans="1:19" ht="28.8" x14ac:dyDescent="0.3">
      <c r="A141" s="9">
        <v>134</v>
      </c>
      <c r="B141" s="14" t="s">
        <v>331</v>
      </c>
      <c r="C141" s="14"/>
      <c r="D141" s="14"/>
      <c r="E141" s="14"/>
      <c r="F141" s="49" t="s">
        <v>329</v>
      </c>
      <c r="G141" s="17" t="s">
        <v>125</v>
      </c>
      <c r="H141" s="13" t="s">
        <v>85</v>
      </c>
      <c r="I141" s="4" t="s">
        <v>346</v>
      </c>
      <c r="J141" s="4" t="s">
        <v>346</v>
      </c>
      <c r="K141" s="4"/>
      <c r="L141" s="4"/>
      <c r="M141" s="4"/>
      <c r="N141" s="4"/>
      <c r="O141" s="3"/>
      <c r="P141" s="4"/>
      <c r="Q141" s="4"/>
      <c r="R141" s="50" t="s">
        <v>82</v>
      </c>
      <c r="S141" s="3"/>
    </row>
    <row r="142" spans="1:19" ht="216" x14ac:dyDescent="0.3">
      <c r="A142" s="9">
        <v>135</v>
      </c>
      <c r="B142" s="14" t="s">
        <v>331</v>
      </c>
      <c r="C142" s="14"/>
      <c r="D142" s="14"/>
      <c r="E142" s="14"/>
      <c r="F142" s="49" t="s">
        <v>347</v>
      </c>
      <c r="G142" s="17" t="s">
        <v>17</v>
      </c>
      <c r="H142" s="13" t="s">
        <v>85</v>
      </c>
      <c r="I142" s="4" t="s">
        <v>348</v>
      </c>
      <c r="J142" s="4" t="s">
        <v>348</v>
      </c>
      <c r="K142" s="4" t="s">
        <v>349</v>
      </c>
      <c r="L142" s="4"/>
      <c r="M142" s="4"/>
      <c r="N142" s="4"/>
      <c r="O142" s="3"/>
      <c r="P142" s="4"/>
      <c r="Q142" s="4"/>
      <c r="R142" s="50" t="s">
        <v>82</v>
      </c>
      <c r="S142" s="3"/>
    </row>
    <row r="143" spans="1:19" ht="115.2" x14ac:dyDescent="0.3">
      <c r="A143" s="9">
        <v>136</v>
      </c>
      <c r="B143" s="14" t="s">
        <v>331</v>
      </c>
      <c r="C143" s="14"/>
      <c r="D143" s="14"/>
      <c r="E143" s="14"/>
      <c r="F143" s="49" t="s">
        <v>350</v>
      </c>
      <c r="G143" s="17" t="s">
        <v>17</v>
      </c>
      <c r="H143" s="13" t="s">
        <v>85</v>
      </c>
      <c r="I143" s="4" t="s">
        <v>351</v>
      </c>
      <c r="J143" s="4" t="s">
        <v>351</v>
      </c>
      <c r="K143" s="4" t="s">
        <v>352</v>
      </c>
      <c r="L143" s="4"/>
      <c r="M143" s="4"/>
      <c r="N143" s="4"/>
      <c r="O143" s="3"/>
      <c r="P143" s="4"/>
      <c r="Q143" s="4"/>
      <c r="R143" s="50" t="s">
        <v>82</v>
      </c>
      <c r="S143" s="3"/>
    </row>
    <row r="144" spans="1:19" ht="14.4" x14ac:dyDescent="0.3">
      <c r="A144" s="9">
        <v>137</v>
      </c>
      <c r="B144" s="14" t="s">
        <v>331</v>
      </c>
      <c r="C144" s="14"/>
      <c r="D144" s="14"/>
      <c r="E144" s="14"/>
      <c r="F144" s="49" t="s">
        <v>353</v>
      </c>
      <c r="G144" s="17" t="s">
        <v>101</v>
      </c>
      <c r="H144" s="13" t="s">
        <v>85</v>
      </c>
      <c r="I144" s="4" t="s">
        <v>354</v>
      </c>
      <c r="J144" s="4" t="s">
        <v>354</v>
      </c>
      <c r="K144" s="4"/>
      <c r="L144" s="4"/>
      <c r="M144" s="4"/>
      <c r="N144" s="4"/>
      <c r="O144" s="3"/>
      <c r="P144" s="4"/>
      <c r="Q144" s="4"/>
      <c r="R144" s="50" t="s">
        <v>82</v>
      </c>
      <c r="S144" s="3"/>
    </row>
    <row r="145" spans="1:19" ht="28.8" x14ac:dyDescent="0.3">
      <c r="A145" s="9">
        <v>138</v>
      </c>
      <c r="B145" s="14" t="s">
        <v>331</v>
      </c>
      <c r="C145" s="14"/>
      <c r="D145" s="14"/>
      <c r="E145" s="14"/>
      <c r="F145" s="49" t="s">
        <v>355</v>
      </c>
      <c r="G145" s="17" t="s">
        <v>101</v>
      </c>
      <c r="H145" s="13" t="s">
        <v>85</v>
      </c>
      <c r="I145" s="4" t="s">
        <v>356</v>
      </c>
      <c r="J145" s="4" t="s">
        <v>356</v>
      </c>
      <c r="K145" s="4"/>
      <c r="L145" s="4"/>
      <c r="M145" s="4"/>
      <c r="N145" s="4"/>
      <c r="O145" s="3"/>
      <c r="P145" s="4"/>
      <c r="Q145" s="4"/>
      <c r="R145" s="50" t="s">
        <v>82</v>
      </c>
      <c r="S145" s="3"/>
    </row>
    <row r="146" spans="1:19" ht="28.8" x14ac:dyDescent="0.3">
      <c r="A146" s="9">
        <v>139</v>
      </c>
      <c r="B146" s="14" t="s">
        <v>331</v>
      </c>
      <c r="C146" s="14"/>
      <c r="D146" s="14"/>
      <c r="E146" s="14"/>
      <c r="F146" s="49" t="s">
        <v>357</v>
      </c>
      <c r="G146" s="17" t="s">
        <v>101</v>
      </c>
      <c r="H146" s="13" t="s">
        <v>85</v>
      </c>
      <c r="I146" s="4" t="s">
        <v>358</v>
      </c>
      <c r="J146" s="4" t="s">
        <v>358</v>
      </c>
      <c r="K146" s="4"/>
      <c r="L146" s="4"/>
      <c r="M146" s="9" t="s">
        <v>82</v>
      </c>
      <c r="N146" s="4"/>
      <c r="O146" s="68" t="s">
        <v>291</v>
      </c>
      <c r="P146" s="4"/>
      <c r="Q146" s="4"/>
      <c r="R146" s="50" t="s">
        <v>82</v>
      </c>
      <c r="S146" s="3"/>
    </row>
    <row r="147" spans="1:19" ht="57.6" x14ac:dyDescent="0.3">
      <c r="A147" s="9">
        <v>140</v>
      </c>
      <c r="B147" s="14" t="s">
        <v>331</v>
      </c>
      <c r="C147" s="14"/>
      <c r="D147" s="14"/>
      <c r="E147" s="14"/>
      <c r="F147" s="49" t="s">
        <v>359</v>
      </c>
      <c r="G147" s="17" t="s">
        <v>101</v>
      </c>
      <c r="H147" s="13" t="s">
        <v>85</v>
      </c>
      <c r="I147" s="4" t="s">
        <v>360</v>
      </c>
      <c r="J147" s="4" t="s">
        <v>360</v>
      </c>
      <c r="K147" s="4"/>
      <c r="L147" s="4"/>
      <c r="M147" s="4"/>
      <c r="N147" s="4"/>
      <c r="O147" s="3"/>
      <c r="P147" s="4"/>
      <c r="Q147" s="4"/>
      <c r="R147" s="50" t="s">
        <v>82</v>
      </c>
      <c r="S147" s="3"/>
    </row>
    <row r="148" spans="1:19" ht="43.2" x14ac:dyDescent="0.3">
      <c r="A148" s="9">
        <v>141</v>
      </c>
      <c r="B148" s="14" t="s">
        <v>331</v>
      </c>
      <c r="C148" s="14"/>
      <c r="D148" s="14"/>
      <c r="E148" s="14"/>
      <c r="F148" s="49" t="s">
        <v>361</v>
      </c>
      <c r="G148" s="17" t="s">
        <v>125</v>
      </c>
      <c r="H148" s="13" t="s">
        <v>85</v>
      </c>
      <c r="I148" s="4" t="s">
        <v>362</v>
      </c>
      <c r="J148" s="4" t="s">
        <v>362</v>
      </c>
      <c r="K148" s="4"/>
      <c r="L148" s="4"/>
      <c r="M148" s="4"/>
      <c r="N148" s="4"/>
      <c r="O148" s="3"/>
      <c r="P148" s="4"/>
      <c r="Q148" s="4"/>
      <c r="R148" s="50" t="s">
        <v>82</v>
      </c>
      <c r="S148" s="3"/>
    </row>
    <row r="149" spans="1:19" ht="100.8" x14ac:dyDescent="0.3">
      <c r="A149" s="9">
        <v>142</v>
      </c>
      <c r="B149" s="14" t="s">
        <v>331</v>
      </c>
      <c r="C149" s="14"/>
      <c r="D149" s="14"/>
      <c r="E149" s="14"/>
      <c r="F149" s="49" t="s">
        <v>88</v>
      </c>
      <c r="G149" s="17" t="s">
        <v>17</v>
      </c>
      <c r="H149" s="13" t="s">
        <v>85</v>
      </c>
      <c r="I149" s="4" t="s">
        <v>363</v>
      </c>
      <c r="J149" s="4" t="s">
        <v>363</v>
      </c>
      <c r="K149" s="4" t="s">
        <v>364</v>
      </c>
      <c r="L149" s="4"/>
      <c r="M149" s="4"/>
      <c r="N149" s="4"/>
      <c r="O149" s="3"/>
      <c r="P149" s="4"/>
      <c r="Q149" s="4"/>
      <c r="R149" s="50" t="s">
        <v>82</v>
      </c>
      <c r="S149" s="3"/>
    </row>
    <row r="150" spans="1:19" ht="14.4" x14ac:dyDescent="0.3">
      <c r="A150" s="9">
        <v>143</v>
      </c>
      <c r="B150" s="14" t="s">
        <v>331</v>
      </c>
      <c r="C150" s="14"/>
      <c r="D150" s="14"/>
      <c r="E150" s="14"/>
      <c r="F150" s="49" t="s">
        <v>365</v>
      </c>
      <c r="G150" s="17" t="s">
        <v>101</v>
      </c>
      <c r="H150" s="13" t="s">
        <v>85</v>
      </c>
      <c r="I150" s="4" t="s">
        <v>366</v>
      </c>
      <c r="J150" s="4" t="s">
        <v>366</v>
      </c>
      <c r="K150" s="4"/>
      <c r="L150" s="4"/>
      <c r="M150" s="9" t="s">
        <v>82</v>
      </c>
      <c r="N150" s="4"/>
      <c r="O150" s="68" t="s">
        <v>367</v>
      </c>
      <c r="P150" s="4"/>
      <c r="Q150" s="4"/>
      <c r="R150" s="50" t="s">
        <v>82</v>
      </c>
      <c r="S150" s="3"/>
    </row>
    <row r="151" spans="1:19" ht="86.4" x14ac:dyDescent="0.3">
      <c r="A151" s="9">
        <v>144</v>
      </c>
      <c r="B151" s="14" t="s">
        <v>331</v>
      </c>
      <c r="C151" s="14"/>
      <c r="D151" s="14"/>
      <c r="E151" s="14"/>
      <c r="F151" s="49" t="s">
        <v>368</v>
      </c>
      <c r="G151" s="17" t="s">
        <v>17</v>
      </c>
      <c r="H151" s="13" t="s">
        <v>85</v>
      </c>
      <c r="I151" s="4" t="s">
        <v>369</v>
      </c>
      <c r="J151" s="4" t="s">
        <v>369</v>
      </c>
      <c r="K151" s="4" t="s">
        <v>370</v>
      </c>
      <c r="L151" s="4"/>
      <c r="M151" s="4"/>
      <c r="N151" s="4"/>
      <c r="O151" s="3"/>
      <c r="P151" s="4"/>
      <c r="Q151" s="4"/>
      <c r="R151" s="50" t="s">
        <v>82</v>
      </c>
      <c r="S151" s="3"/>
    </row>
    <row r="152" spans="1:19" ht="86.4" x14ac:dyDescent="0.3">
      <c r="A152" s="9">
        <v>145</v>
      </c>
      <c r="B152" s="14" t="s">
        <v>331</v>
      </c>
      <c r="C152" s="14"/>
      <c r="D152" s="14"/>
      <c r="E152" s="14"/>
      <c r="F152" s="49" t="s">
        <v>136</v>
      </c>
      <c r="G152" s="17" t="s">
        <v>17</v>
      </c>
      <c r="H152" s="13" t="s">
        <v>85</v>
      </c>
      <c r="I152" s="4" t="s">
        <v>371</v>
      </c>
      <c r="J152" s="4" t="s">
        <v>371</v>
      </c>
      <c r="K152" s="4"/>
      <c r="L152" s="4"/>
      <c r="M152" s="4"/>
      <c r="N152" s="4"/>
      <c r="O152" s="3"/>
      <c r="P152" s="4"/>
      <c r="Q152" s="4"/>
      <c r="R152" s="50" t="s">
        <v>82</v>
      </c>
      <c r="S152" s="3"/>
    </row>
    <row r="153" spans="1:19" ht="72" x14ac:dyDescent="0.3">
      <c r="A153" s="9">
        <v>146</v>
      </c>
      <c r="B153" s="14" t="s">
        <v>331</v>
      </c>
      <c r="C153" s="14"/>
      <c r="D153" s="14"/>
      <c r="E153" s="14"/>
      <c r="F153" s="49" t="s">
        <v>372</v>
      </c>
      <c r="G153" s="17" t="s">
        <v>101</v>
      </c>
      <c r="H153" s="13" t="s">
        <v>85</v>
      </c>
      <c r="I153" s="4" t="s">
        <v>373</v>
      </c>
      <c r="J153" s="4" t="s">
        <v>373</v>
      </c>
      <c r="K153" s="4"/>
      <c r="L153" s="4"/>
      <c r="M153" s="9" t="s">
        <v>82</v>
      </c>
      <c r="N153" s="4"/>
      <c r="O153" s="68" t="s">
        <v>374</v>
      </c>
      <c r="P153" s="4"/>
      <c r="Q153" s="4"/>
      <c r="R153" s="50" t="s">
        <v>82</v>
      </c>
      <c r="S153" s="3"/>
    </row>
    <row r="154" spans="1:19" ht="43.2" x14ac:dyDescent="0.3">
      <c r="A154" s="9">
        <v>147</v>
      </c>
      <c r="B154" s="14" t="s">
        <v>331</v>
      </c>
      <c r="C154" s="14"/>
      <c r="D154" s="14"/>
      <c r="E154" s="14"/>
      <c r="F154" s="49" t="s">
        <v>138</v>
      </c>
      <c r="G154" s="17" t="s">
        <v>17</v>
      </c>
      <c r="H154" s="13" t="s">
        <v>85</v>
      </c>
      <c r="I154" s="4" t="s">
        <v>375</v>
      </c>
      <c r="J154" s="4" t="s">
        <v>375</v>
      </c>
      <c r="K154" s="4"/>
      <c r="L154" s="4"/>
      <c r="M154" s="4"/>
      <c r="N154" s="4"/>
      <c r="O154" s="3"/>
      <c r="P154" s="4"/>
      <c r="Q154" s="4"/>
      <c r="R154" s="50" t="s">
        <v>82</v>
      </c>
      <c r="S154" s="3"/>
    </row>
    <row r="155" spans="1:19" ht="14.4" x14ac:dyDescent="0.3">
      <c r="A155" s="9">
        <v>148</v>
      </c>
      <c r="B155" s="14" t="s">
        <v>331</v>
      </c>
      <c r="C155" s="14"/>
      <c r="D155" s="14"/>
      <c r="E155" s="14"/>
      <c r="F155" s="49" t="s">
        <v>194</v>
      </c>
      <c r="G155" s="17" t="s">
        <v>81</v>
      </c>
      <c r="H155" s="13" t="s">
        <v>85</v>
      </c>
      <c r="I155" s="4" t="s">
        <v>376</v>
      </c>
      <c r="J155" s="4" t="s">
        <v>376</v>
      </c>
      <c r="K155" s="4"/>
      <c r="L155" s="4"/>
      <c r="M155" s="4"/>
      <c r="N155" s="4"/>
      <c r="O155" s="3"/>
      <c r="P155" s="4"/>
      <c r="Q155" s="4"/>
      <c r="R155" s="50" t="s">
        <v>82</v>
      </c>
      <c r="S155" s="3"/>
    </row>
    <row r="156" spans="1:19" ht="144" x14ac:dyDescent="0.3">
      <c r="A156" s="9">
        <v>149</v>
      </c>
      <c r="B156" s="14" t="s">
        <v>331</v>
      </c>
      <c r="C156" s="14"/>
      <c r="D156" s="14"/>
      <c r="E156" s="14"/>
      <c r="F156" s="49" t="s">
        <v>377</v>
      </c>
      <c r="G156" s="17" t="s">
        <v>101</v>
      </c>
      <c r="H156" s="13" t="s">
        <v>85</v>
      </c>
      <c r="I156" s="4" t="s">
        <v>378</v>
      </c>
      <c r="J156" s="4" t="s">
        <v>378</v>
      </c>
      <c r="K156" s="4" t="s">
        <v>379</v>
      </c>
      <c r="L156" s="4"/>
      <c r="M156" s="9" t="s">
        <v>82</v>
      </c>
      <c r="N156" s="4"/>
      <c r="O156" s="68" t="s">
        <v>380</v>
      </c>
      <c r="P156" s="4"/>
      <c r="Q156" s="4"/>
      <c r="R156" s="50" t="s">
        <v>82</v>
      </c>
      <c r="S156" s="3"/>
    </row>
    <row r="157" spans="1:19" ht="43.2" x14ac:dyDescent="0.3">
      <c r="A157" s="9">
        <v>150</v>
      </c>
      <c r="B157" s="14" t="s">
        <v>331</v>
      </c>
      <c r="C157" s="14"/>
      <c r="D157" s="14"/>
      <c r="E157" s="14"/>
      <c r="F157" s="49" t="s">
        <v>381</v>
      </c>
      <c r="G157" s="17" t="s">
        <v>125</v>
      </c>
      <c r="H157" s="13" t="s">
        <v>85</v>
      </c>
      <c r="I157" s="4" t="s">
        <v>382</v>
      </c>
      <c r="J157" s="4" t="s">
        <v>382</v>
      </c>
      <c r="K157" s="4"/>
      <c r="L157" s="4"/>
      <c r="M157" s="4"/>
      <c r="N157" s="4"/>
      <c r="O157" s="3"/>
      <c r="P157" s="4"/>
      <c r="Q157" s="4"/>
      <c r="R157" s="50" t="s">
        <v>82</v>
      </c>
      <c r="S157" s="3"/>
    </row>
    <row r="158" spans="1:19" ht="57.6" x14ac:dyDescent="0.3">
      <c r="A158" s="9">
        <v>151</v>
      </c>
      <c r="B158" s="14" t="s">
        <v>331</v>
      </c>
      <c r="C158" s="14"/>
      <c r="D158" s="14"/>
      <c r="E158" s="14"/>
      <c r="F158" s="49" t="s">
        <v>383</v>
      </c>
      <c r="G158" s="17" t="s">
        <v>17</v>
      </c>
      <c r="H158" s="13" t="s">
        <v>85</v>
      </c>
      <c r="I158" s="4" t="s">
        <v>384</v>
      </c>
      <c r="J158" s="4" t="s">
        <v>384</v>
      </c>
      <c r="K158" s="4" t="s">
        <v>385</v>
      </c>
      <c r="L158" s="4"/>
      <c r="M158" s="4"/>
      <c r="N158" s="4"/>
      <c r="O158" s="3"/>
      <c r="P158" s="4"/>
      <c r="Q158" s="4"/>
      <c r="R158" s="50" t="s">
        <v>82</v>
      </c>
      <c r="S158" s="3"/>
    </row>
    <row r="159" spans="1:19" ht="100.8" x14ac:dyDescent="0.3">
      <c r="A159" s="9">
        <v>152</v>
      </c>
      <c r="B159" s="14" t="s">
        <v>331</v>
      </c>
      <c r="C159" s="14"/>
      <c r="D159" s="14"/>
      <c r="E159" s="14"/>
      <c r="F159" s="49" t="s">
        <v>282</v>
      </c>
      <c r="G159" s="17" t="s">
        <v>152</v>
      </c>
      <c r="H159" s="13" t="s">
        <v>85</v>
      </c>
      <c r="I159" s="16"/>
      <c r="J159" s="16"/>
      <c r="K159" s="4" t="s">
        <v>386</v>
      </c>
      <c r="L159" s="4"/>
      <c r="M159" s="4"/>
      <c r="N159" s="4"/>
      <c r="O159" s="3"/>
      <c r="P159" s="4"/>
      <c r="Q159" s="4"/>
      <c r="R159" s="50" t="s">
        <v>82</v>
      </c>
      <c r="S159" s="3"/>
    </row>
    <row r="160" spans="1:19" ht="14.4" x14ac:dyDescent="0.3">
      <c r="A160" s="9">
        <v>153</v>
      </c>
      <c r="B160" s="14" t="s">
        <v>331</v>
      </c>
      <c r="C160" s="14"/>
      <c r="D160" s="14"/>
      <c r="E160" s="14"/>
      <c r="F160" s="49" t="s">
        <v>387</v>
      </c>
      <c r="G160" s="17" t="s">
        <v>125</v>
      </c>
      <c r="H160" s="13" t="s">
        <v>85</v>
      </c>
      <c r="I160" s="4" t="s">
        <v>388</v>
      </c>
      <c r="J160" s="4" t="s">
        <v>388</v>
      </c>
      <c r="K160" s="4"/>
      <c r="L160" s="4"/>
      <c r="M160" s="4"/>
      <c r="N160" s="4"/>
      <c r="O160" s="3"/>
      <c r="P160" s="4"/>
      <c r="Q160" s="4"/>
      <c r="R160" s="50" t="s">
        <v>82</v>
      </c>
      <c r="S160" s="3"/>
    </row>
    <row r="161" spans="1:19" ht="14.4" x14ac:dyDescent="0.3">
      <c r="A161" s="9">
        <v>154</v>
      </c>
      <c r="B161" s="14" t="s">
        <v>331</v>
      </c>
      <c r="C161" s="14"/>
      <c r="D161" s="14"/>
      <c r="E161" s="14"/>
      <c r="F161" s="49" t="s">
        <v>389</v>
      </c>
      <c r="G161" s="17" t="s">
        <v>125</v>
      </c>
      <c r="H161" s="13" t="s">
        <v>85</v>
      </c>
      <c r="I161" s="4" t="s">
        <v>390</v>
      </c>
      <c r="J161" s="4" t="s">
        <v>390</v>
      </c>
      <c r="K161" s="4"/>
      <c r="L161" s="4"/>
      <c r="M161" s="4"/>
      <c r="N161" s="4"/>
      <c r="O161" s="3"/>
      <c r="P161" s="4"/>
      <c r="Q161" s="4"/>
      <c r="R161" s="50" t="s">
        <v>82</v>
      </c>
      <c r="S161" s="3"/>
    </row>
    <row r="162" spans="1:19" ht="57.6" x14ac:dyDescent="0.3">
      <c r="A162" s="9">
        <v>155</v>
      </c>
      <c r="B162" s="14" t="s">
        <v>331</v>
      </c>
      <c r="C162" s="14"/>
      <c r="D162" s="14"/>
      <c r="E162" s="14"/>
      <c r="F162" s="49" t="s">
        <v>391</v>
      </c>
      <c r="G162" s="17" t="s">
        <v>101</v>
      </c>
      <c r="H162" s="13" t="s">
        <v>85</v>
      </c>
      <c r="I162" s="4" t="s">
        <v>392</v>
      </c>
      <c r="J162" s="4" t="s">
        <v>392</v>
      </c>
      <c r="K162" s="4" t="s">
        <v>393</v>
      </c>
      <c r="L162" s="4"/>
      <c r="M162" s="9" t="s">
        <v>82</v>
      </c>
      <c r="N162" s="4"/>
      <c r="O162" s="68" t="s">
        <v>394</v>
      </c>
      <c r="P162" s="4"/>
      <c r="Q162" s="4"/>
      <c r="R162" s="50" t="s">
        <v>82</v>
      </c>
      <c r="S162" s="3"/>
    </row>
    <row r="163" spans="1:19" ht="129.6" x14ac:dyDescent="0.3">
      <c r="A163" s="9">
        <v>156</v>
      </c>
      <c r="B163" s="14" t="s">
        <v>331</v>
      </c>
      <c r="C163" s="14"/>
      <c r="D163" s="14"/>
      <c r="E163" s="14"/>
      <c r="F163" s="49" t="s">
        <v>395</v>
      </c>
      <c r="G163" s="17" t="s">
        <v>125</v>
      </c>
      <c r="H163" s="13" t="s">
        <v>85</v>
      </c>
      <c r="I163" s="4" t="s">
        <v>396</v>
      </c>
      <c r="J163" s="4" t="s">
        <v>396</v>
      </c>
      <c r="K163" s="4"/>
      <c r="L163" s="4"/>
      <c r="M163" s="4"/>
      <c r="N163" s="4"/>
      <c r="O163" s="3"/>
      <c r="P163" s="4"/>
      <c r="Q163" s="4"/>
      <c r="R163" s="50" t="s">
        <v>82</v>
      </c>
      <c r="S163" s="3"/>
    </row>
    <row r="164" spans="1:19" ht="57.6" x14ac:dyDescent="0.3">
      <c r="A164" s="9">
        <v>157</v>
      </c>
      <c r="B164" s="14" t="s">
        <v>331</v>
      </c>
      <c r="C164" s="14"/>
      <c r="D164" s="14"/>
      <c r="E164" s="14"/>
      <c r="F164" s="49" t="s">
        <v>192</v>
      </c>
      <c r="G164" s="17" t="s">
        <v>101</v>
      </c>
      <c r="H164" s="13" t="s">
        <v>85</v>
      </c>
      <c r="I164" s="4" t="s">
        <v>193</v>
      </c>
      <c r="J164" s="162" t="s">
        <v>397</v>
      </c>
      <c r="K164" s="4"/>
      <c r="L164" s="4"/>
      <c r="M164" s="4"/>
      <c r="N164" s="4"/>
      <c r="O164" s="3"/>
      <c r="P164" s="4"/>
      <c r="Q164" s="4"/>
      <c r="R164" s="50" t="s">
        <v>82</v>
      </c>
      <c r="S164" s="3"/>
    </row>
    <row r="165" spans="1:19" ht="14.4" x14ac:dyDescent="0.3">
      <c r="A165" s="9">
        <v>158</v>
      </c>
      <c r="B165" s="14" t="s">
        <v>398</v>
      </c>
      <c r="C165" s="14"/>
      <c r="D165" s="14"/>
      <c r="E165" s="14"/>
      <c r="F165" s="49" t="s">
        <v>399</v>
      </c>
      <c r="G165" s="17" t="s">
        <v>101</v>
      </c>
      <c r="H165" s="13" t="s">
        <v>85</v>
      </c>
      <c r="I165" s="4"/>
      <c r="J165" s="4"/>
      <c r="K165" s="4"/>
      <c r="L165" s="4"/>
      <c r="M165" s="9" t="s">
        <v>82</v>
      </c>
      <c r="N165" s="4"/>
      <c r="O165" s="3" t="s">
        <v>400</v>
      </c>
      <c r="P165" s="4"/>
      <c r="Q165" s="4"/>
      <c r="R165" s="50" t="s">
        <v>82</v>
      </c>
      <c r="S165" s="3"/>
    </row>
    <row r="166" spans="1:19" ht="28.8" x14ac:dyDescent="0.3">
      <c r="A166" s="9">
        <v>159</v>
      </c>
      <c r="B166" s="14" t="s">
        <v>398</v>
      </c>
      <c r="C166" s="14"/>
      <c r="D166" s="14"/>
      <c r="E166" s="14"/>
      <c r="F166" s="49" t="s">
        <v>401</v>
      </c>
      <c r="G166" s="17" t="s">
        <v>152</v>
      </c>
      <c r="H166" s="13" t="s">
        <v>85</v>
      </c>
      <c r="I166" s="4" t="s">
        <v>402</v>
      </c>
      <c r="J166" s="4" t="s">
        <v>402</v>
      </c>
      <c r="K166" s="4"/>
      <c r="L166" s="4"/>
      <c r="M166" s="4"/>
      <c r="N166" s="4"/>
      <c r="O166" s="3"/>
      <c r="P166" s="4"/>
      <c r="Q166" s="4"/>
      <c r="R166" s="50" t="s">
        <v>82</v>
      </c>
      <c r="S166" s="3"/>
    </row>
    <row r="167" spans="1:19" ht="14.4" x14ac:dyDescent="0.3">
      <c r="A167" s="9">
        <v>160</v>
      </c>
      <c r="B167" s="14" t="s">
        <v>403</v>
      </c>
      <c r="C167" s="14"/>
      <c r="D167" s="14"/>
      <c r="E167" s="14"/>
      <c r="F167" s="49" t="s">
        <v>404</v>
      </c>
      <c r="G167" s="17" t="s">
        <v>152</v>
      </c>
      <c r="H167" s="13" t="s">
        <v>85</v>
      </c>
      <c r="I167" s="4"/>
      <c r="J167" s="4"/>
      <c r="K167" s="4"/>
      <c r="L167" s="4"/>
      <c r="M167" s="4"/>
      <c r="N167" s="4"/>
      <c r="O167" s="3"/>
      <c r="P167" s="4"/>
      <c r="Q167" s="4"/>
      <c r="R167" s="50" t="s">
        <v>82</v>
      </c>
      <c r="S167" s="3"/>
    </row>
    <row r="168" spans="1:19" ht="14.4" x14ac:dyDescent="0.3">
      <c r="A168" s="9">
        <v>161</v>
      </c>
      <c r="B168" s="14" t="s">
        <v>403</v>
      </c>
      <c r="C168" s="14"/>
      <c r="D168" s="14"/>
      <c r="E168" s="14"/>
      <c r="F168" s="49" t="s">
        <v>405</v>
      </c>
      <c r="G168" s="17" t="s">
        <v>101</v>
      </c>
      <c r="H168" s="13" t="s">
        <v>85</v>
      </c>
      <c r="I168" s="4"/>
      <c r="J168" s="4"/>
      <c r="K168" s="4"/>
      <c r="L168" s="4"/>
      <c r="M168" s="4"/>
      <c r="N168" s="4"/>
      <c r="O168" s="3"/>
      <c r="P168" s="4"/>
      <c r="Q168" s="4"/>
      <c r="R168" s="50" t="s">
        <v>82</v>
      </c>
      <c r="S168" s="3"/>
    </row>
    <row r="169" spans="1:19" ht="14.4" x14ac:dyDescent="0.3">
      <c r="A169" s="9">
        <v>162</v>
      </c>
      <c r="B169" s="14" t="s">
        <v>403</v>
      </c>
      <c r="C169" s="14"/>
      <c r="D169" s="14"/>
      <c r="E169" s="14"/>
      <c r="F169" s="49" t="s">
        <v>406</v>
      </c>
      <c r="G169" s="17" t="s">
        <v>101</v>
      </c>
      <c r="H169" s="13" t="s">
        <v>85</v>
      </c>
      <c r="I169" s="4"/>
      <c r="J169" s="4"/>
      <c r="K169" s="4"/>
      <c r="L169" s="4"/>
      <c r="M169" s="4"/>
      <c r="N169" s="4"/>
      <c r="O169" s="3"/>
      <c r="P169" s="4"/>
      <c r="Q169" s="4"/>
      <c r="R169" s="50" t="s">
        <v>82</v>
      </c>
      <c r="S169" s="3"/>
    </row>
    <row r="170" spans="1:19" ht="14.4" x14ac:dyDescent="0.3">
      <c r="A170" s="9">
        <v>163</v>
      </c>
      <c r="B170" s="14" t="s">
        <v>403</v>
      </c>
      <c r="C170" s="14"/>
      <c r="D170" s="14"/>
      <c r="E170" s="14"/>
      <c r="F170" s="49" t="s">
        <v>407</v>
      </c>
      <c r="G170" s="17" t="s">
        <v>101</v>
      </c>
      <c r="H170" s="13" t="s">
        <v>85</v>
      </c>
      <c r="I170" s="4"/>
      <c r="J170" s="4"/>
      <c r="K170" s="4"/>
      <c r="L170" s="4"/>
      <c r="M170" s="4"/>
      <c r="N170" s="4"/>
      <c r="O170" s="3"/>
      <c r="P170" s="4"/>
      <c r="Q170" s="4"/>
      <c r="R170" s="50" t="s">
        <v>82</v>
      </c>
      <c r="S170" s="3"/>
    </row>
    <row r="171" spans="1:19" ht="14.4" x14ac:dyDescent="0.3">
      <c r="A171" s="9">
        <v>164</v>
      </c>
      <c r="B171" s="14" t="s">
        <v>403</v>
      </c>
      <c r="C171" s="14"/>
      <c r="D171" s="14"/>
      <c r="E171" s="14"/>
      <c r="F171" s="49" t="s">
        <v>408</v>
      </c>
      <c r="G171" s="17" t="s">
        <v>17</v>
      </c>
      <c r="H171" s="13" t="s">
        <v>85</v>
      </c>
      <c r="I171" s="4"/>
      <c r="J171" s="4"/>
      <c r="K171" s="4"/>
      <c r="L171" s="4"/>
      <c r="M171" s="4"/>
      <c r="N171" s="4"/>
      <c r="O171" s="3"/>
      <c r="P171" s="4"/>
      <c r="Q171" s="4"/>
      <c r="R171" s="50" t="s">
        <v>82</v>
      </c>
      <c r="S171" s="3"/>
    </row>
    <row r="172" spans="1:19" ht="14.4" x14ac:dyDescent="0.3">
      <c r="A172" s="9">
        <v>165</v>
      </c>
      <c r="B172" s="14" t="s">
        <v>403</v>
      </c>
      <c r="C172" s="14"/>
      <c r="D172" s="14"/>
      <c r="E172" s="14"/>
      <c r="F172" s="49" t="s">
        <v>409</v>
      </c>
      <c r="G172" s="17" t="s">
        <v>17</v>
      </c>
      <c r="H172" s="13" t="s">
        <v>85</v>
      </c>
      <c r="I172" s="4"/>
      <c r="J172" s="4"/>
      <c r="K172" s="4"/>
      <c r="L172" s="4"/>
      <c r="M172" s="4"/>
      <c r="N172" s="4"/>
      <c r="O172" s="3"/>
      <c r="P172" s="4"/>
      <c r="Q172" s="4"/>
      <c r="R172" s="50" t="s">
        <v>82</v>
      </c>
      <c r="S172" s="3"/>
    </row>
    <row r="173" spans="1:19" ht="14.4" x14ac:dyDescent="0.3">
      <c r="A173" s="9">
        <v>166</v>
      </c>
      <c r="B173" s="14" t="s">
        <v>403</v>
      </c>
      <c r="C173" s="14"/>
      <c r="D173" s="14"/>
      <c r="E173" s="14"/>
      <c r="F173" s="49" t="s">
        <v>122</v>
      </c>
      <c r="G173" s="17" t="s">
        <v>81</v>
      </c>
      <c r="H173" s="13" t="s">
        <v>85</v>
      </c>
      <c r="I173" s="4"/>
      <c r="J173" s="4"/>
      <c r="K173" s="4"/>
      <c r="L173" s="4"/>
      <c r="M173" s="4"/>
      <c r="N173" s="4"/>
      <c r="O173" s="3"/>
      <c r="P173" s="4"/>
      <c r="Q173" s="4"/>
      <c r="R173" s="50" t="s">
        <v>82</v>
      </c>
      <c r="S173" s="3"/>
    </row>
    <row r="174" spans="1:19" ht="14.4" x14ac:dyDescent="0.3">
      <c r="A174" s="9">
        <v>167</v>
      </c>
      <c r="B174" s="14" t="s">
        <v>403</v>
      </c>
      <c r="C174" s="14"/>
      <c r="D174" s="14"/>
      <c r="E174" s="14"/>
      <c r="F174" s="49" t="s">
        <v>410</v>
      </c>
      <c r="G174" s="17" t="s">
        <v>101</v>
      </c>
      <c r="H174" s="13" t="s">
        <v>85</v>
      </c>
      <c r="I174" s="4"/>
      <c r="J174" s="4"/>
      <c r="K174" s="4"/>
      <c r="L174" s="4"/>
      <c r="M174" s="4"/>
      <c r="N174" s="4"/>
      <c r="O174" s="3"/>
      <c r="P174" s="4"/>
      <c r="Q174" s="4"/>
      <c r="R174" s="50" t="s">
        <v>82</v>
      </c>
      <c r="S174" s="3"/>
    </row>
    <row r="175" spans="1:19" ht="72" x14ac:dyDescent="0.3">
      <c r="A175" s="9">
        <v>168</v>
      </c>
      <c r="B175" s="14" t="s">
        <v>403</v>
      </c>
      <c r="C175" s="14"/>
      <c r="D175" s="14"/>
      <c r="E175" s="14"/>
      <c r="F175" s="49" t="s">
        <v>411</v>
      </c>
      <c r="G175" s="17" t="s">
        <v>101</v>
      </c>
      <c r="H175" s="13" t="s">
        <v>85</v>
      </c>
      <c r="I175" s="4" t="s">
        <v>412</v>
      </c>
      <c r="J175" s="4" t="s">
        <v>412</v>
      </c>
      <c r="K175" s="4"/>
      <c r="L175" s="4"/>
      <c r="M175" s="9" t="s">
        <v>82</v>
      </c>
      <c r="N175" s="4"/>
      <c r="O175" s="69" t="s">
        <v>413</v>
      </c>
      <c r="P175" s="4"/>
      <c r="Q175" s="4"/>
      <c r="R175" s="50" t="s">
        <v>82</v>
      </c>
      <c r="S175" s="3"/>
    </row>
    <row r="176" spans="1:19" ht="14.4" x14ac:dyDescent="0.3">
      <c r="A176" s="9">
        <v>169</v>
      </c>
      <c r="B176" s="14" t="s">
        <v>403</v>
      </c>
      <c r="C176" s="14"/>
      <c r="D176" s="14"/>
      <c r="E176" s="14"/>
      <c r="F176" s="49" t="s">
        <v>414</v>
      </c>
      <c r="G176" s="17" t="s">
        <v>17</v>
      </c>
      <c r="H176" s="13" t="s">
        <v>85</v>
      </c>
      <c r="I176" s="4"/>
      <c r="J176" s="4"/>
      <c r="K176" s="4"/>
      <c r="L176" s="4"/>
      <c r="M176" s="4"/>
      <c r="N176" s="4"/>
      <c r="O176" s="3"/>
      <c r="P176" s="4"/>
      <c r="Q176" s="4"/>
      <c r="R176" s="50" t="s">
        <v>82</v>
      </c>
      <c r="S176" s="3"/>
    </row>
    <row r="177" spans="1:19" ht="14.4" x14ac:dyDescent="0.3">
      <c r="A177" s="9">
        <v>170</v>
      </c>
      <c r="B177" s="14" t="s">
        <v>415</v>
      </c>
      <c r="C177" s="14"/>
      <c r="D177" s="14"/>
      <c r="E177" s="14"/>
      <c r="F177" s="49" t="s">
        <v>416</v>
      </c>
      <c r="G177" s="17" t="s">
        <v>101</v>
      </c>
      <c r="H177" s="13" t="s">
        <v>85</v>
      </c>
      <c r="I177" s="4"/>
      <c r="J177" s="4"/>
      <c r="K177" s="4"/>
      <c r="L177" s="4"/>
      <c r="M177" s="4"/>
      <c r="N177" s="4"/>
      <c r="O177" s="3"/>
      <c r="P177" s="4"/>
      <c r="Q177" s="4"/>
      <c r="R177" s="50" t="s">
        <v>82</v>
      </c>
      <c r="S177" s="3"/>
    </row>
    <row r="178" spans="1:19" ht="14.4" x14ac:dyDescent="0.3">
      <c r="A178" s="9">
        <v>171</v>
      </c>
      <c r="B178" s="14" t="s">
        <v>415</v>
      </c>
      <c r="C178" s="14"/>
      <c r="D178" s="14"/>
      <c r="E178" s="14"/>
      <c r="F178" s="49" t="s">
        <v>417</v>
      </c>
      <c r="G178" s="17" t="s">
        <v>101</v>
      </c>
      <c r="H178" s="13" t="s">
        <v>85</v>
      </c>
      <c r="I178" s="4"/>
      <c r="J178" s="4"/>
      <c r="K178" s="4"/>
      <c r="L178" s="4"/>
      <c r="M178" s="9" t="s">
        <v>82</v>
      </c>
      <c r="N178" s="4"/>
      <c r="O178" s="69" t="s">
        <v>418</v>
      </c>
      <c r="P178" s="4"/>
      <c r="Q178" s="4"/>
      <c r="R178" s="50" t="s">
        <v>82</v>
      </c>
      <c r="S178" s="3"/>
    </row>
    <row r="179" spans="1:19" ht="14.4" x14ac:dyDescent="0.3">
      <c r="A179" s="9">
        <v>172</v>
      </c>
      <c r="B179" s="14" t="s">
        <v>415</v>
      </c>
      <c r="C179" s="14"/>
      <c r="D179" s="14"/>
      <c r="E179" s="14"/>
      <c r="F179" s="49" t="s">
        <v>335</v>
      </c>
      <c r="G179" s="17" t="s">
        <v>101</v>
      </c>
      <c r="H179" s="13" t="s">
        <v>85</v>
      </c>
      <c r="I179" s="4"/>
      <c r="J179" s="4"/>
      <c r="K179" s="4"/>
      <c r="L179" s="4"/>
      <c r="M179" s="4"/>
      <c r="N179" s="4"/>
      <c r="O179" s="3"/>
      <c r="P179" s="4"/>
      <c r="Q179" s="4"/>
      <c r="R179" s="50" t="s">
        <v>82</v>
      </c>
      <c r="S179" s="3"/>
    </row>
    <row r="180" spans="1:19" ht="57.6" x14ac:dyDescent="0.3">
      <c r="A180" s="9">
        <v>173</v>
      </c>
      <c r="B180" s="14" t="s">
        <v>415</v>
      </c>
      <c r="C180" s="14"/>
      <c r="D180" s="14"/>
      <c r="E180" s="14"/>
      <c r="F180" s="49" t="s">
        <v>419</v>
      </c>
      <c r="G180" s="17" t="s">
        <v>101</v>
      </c>
      <c r="H180" s="13" t="s">
        <v>85</v>
      </c>
      <c r="I180" s="4" t="s">
        <v>420</v>
      </c>
      <c r="J180" s="4" t="s">
        <v>420</v>
      </c>
      <c r="K180" s="4"/>
      <c r="L180" s="4"/>
      <c r="M180" s="4"/>
      <c r="N180" s="4"/>
      <c r="O180" s="3"/>
      <c r="P180" s="4"/>
      <c r="Q180" s="4"/>
      <c r="R180" s="50" t="s">
        <v>82</v>
      </c>
      <c r="S180" s="3"/>
    </row>
    <row r="181" spans="1:19" ht="14.4" x14ac:dyDescent="0.3">
      <c r="A181" s="9">
        <v>174</v>
      </c>
      <c r="B181" s="14" t="s">
        <v>415</v>
      </c>
      <c r="C181" s="14"/>
      <c r="D181" s="14"/>
      <c r="E181" s="14"/>
      <c r="F181" s="49" t="s">
        <v>410</v>
      </c>
      <c r="G181" s="17" t="s">
        <v>101</v>
      </c>
      <c r="H181" s="13" t="s">
        <v>85</v>
      </c>
      <c r="I181" s="4"/>
      <c r="J181" s="4"/>
      <c r="K181" s="4"/>
      <c r="L181" s="4"/>
      <c r="M181" s="4"/>
      <c r="N181" s="4"/>
      <c r="O181" s="3"/>
      <c r="P181" s="4"/>
      <c r="Q181" s="4"/>
      <c r="R181" s="50" t="s">
        <v>82</v>
      </c>
      <c r="S181" s="3"/>
    </row>
    <row r="182" spans="1:19" ht="14.4" x14ac:dyDescent="0.3">
      <c r="A182" s="9">
        <v>175</v>
      </c>
      <c r="B182" s="14" t="s">
        <v>421</v>
      </c>
      <c r="C182" s="14"/>
      <c r="D182" s="14"/>
      <c r="E182" s="14"/>
      <c r="F182" s="49" t="s">
        <v>422</v>
      </c>
      <c r="G182" s="17" t="s">
        <v>101</v>
      </c>
      <c r="H182" s="13" t="s">
        <v>85</v>
      </c>
      <c r="I182" s="4"/>
      <c r="J182" s="4"/>
      <c r="K182" s="4"/>
      <c r="L182" s="4"/>
      <c r="M182" s="4"/>
      <c r="N182" s="4"/>
      <c r="O182" s="3"/>
      <c r="P182" s="4"/>
      <c r="Q182" s="4"/>
      <c r="R182" s="50" t="s">
        <v>82</v>
      </c>
      <c r="S182" s="3"/>
    </row>
    <row r="183" spans="1:19" ht="57.6" x14ac:dyDescent="0.3">
      <c r="A183" s="9">
        <v>176</v>
      </c>
      <c r="B183" s="14" t="s">
        <v>421</v>
      </c>
      <c r="C183" s="14"/>
      <c r="D183" s="14"/>
      <c r="E183" s="14"/>
      <c r="F183" s="49" t="s">
        <v>423</v>
      </c>
      <c r="G183" s="17" t="s">
        <v>101</v>
      </c>
      <c r="H183" s="13" t="s">
        <v>85</v>
      </c>
      <c r="I183" s="4" t="s">
        <v>424</v>
      </c>
      <c r="J183" s="4" t="s">
        <v>424</v>
      </c>
      <c r="K183" s="4"/>
      <c r="L183" s="4"/>
      <c r="M183" s="4"/>
      <c r="N183" s="4"/>
      <c r="O183" s="3"/>
      <c r="P183" s="4"/>
      <c r="Q183" s="4"/>
      <c r="R183" s="50" t="s">
        <v>82</v>
      </c>
      <c r="S183" s="3"/>
    </row>
    <row r="184" spans="1:19" ht="28.8" x14ac:dyDescent="0.3">
      <c r="A184" s="9">
        <v>177</v>
      </c>
      <c r="B184" s="14" t="s">
        <v>421</v>
      </c>
      <c r="C184" s="14"/>
      <c r="D184" s="14"/>
      <c r="E184" s="14"/>
      <c r="F184" s="49" t="s">
        <v>425</v>
      </c>
      <c r="G184" s="17" t="s">
        <v>101</v>
      </c>
      <c r="H184" s="13" t="s">
        <v>85</v>
      </c>
      <c r="I184" s="4" t="s">
        <v>426</v>
      </c>
      <c r="J184" s="4" t="s">
        <v>426</v>
      </c>
      <c r="K184" s="4"/>
      <c r="L184" s="4"/>
      <c r="M184" s="4"/>
      <c r="N184" s="4"/>
      <c r="O184" s="3"/>
      <c r="P184" s="4"/>
      <c r="Q184" s="4"/>
      <c r="R184" s="157" t="s">
        <v>82</v>
      </c>
      <c r="S184" s="3"/>
    </row>
    <row r="185" spans="1:19" ht="72" x14ac:dyDescent="0.3">
      <c r="A185" s="9">
        <v>178</v>
      </c>
      <c r="B185" s="14" t="s">
        <v>421</v>
      </c>
      <c r="C185" s="14"/>
      <c r="D185" s="14"/>
      <c r="E185" s="14"/>
      <c r="F185" s="105" t="s">
        <v>109</v>
      </c>
      <c r="G185" s="85" t="s">
        <v>95</v>
      </c>
      <c r="H185" s="13" t="s">
        <v>85</v>
      </c>
      <c r="I185" s="4" t="s">
        <v>427</v>
      </c>
      <c r="J185" s="4" t="s">
        <v>427</v>
      </c>
      <c r="K185" s="4"/>
      <c r="L185" s="4"/>
      <c r="M185" s="4"/>
      <c r="N185" s="4"/>
      <c r="O185" s="3"/>
      <c r="P185" s="4"/>
      <c r="Q185" s="62"/>
      <c r="R185" s="13" t="s">
        <v>85</v>
      </c>
      <c r="S185" s="156"/>
    </row>
    <row r="186" spans="1:19" ht="57.6" x14ac:dyDescent="0.3">
      <c r="A186" s="9">
        <v>179</v>
      </c>
      <c r="B186" s="14" t="s">
        <v>421</v>
      </c>
      <c r="C186" s="14"/>
      <c r="D186" s="14"/>
      <c r="E186" s="14"/>
      <c r="F186" s="104" t="s">
        <v>111</v>
      </c>
      <c r="G186" s="106" t="s">
        <v>98</v>
      </c>
      <c r="H186" s="13" t="s">
        <v>85</v>
      </c>
      <c r="I186" s="4" t="s">
        <v>428</v>
      </c>
      <c r="J186" s="4" t="s">
        <v>428</v>
      </c>
      <c r="K186" s="4"/>
      <c r="L186" s="4"/>
      <c r="M186" s="4"/>
      <c r="N186" s="4"/>
      <c r="O186" s="3"/>
      <c r="P186" s="4"/>
      <c r="Q186" s="4"/>
      <c r="R186" s="159" t="s">
        <v>82</v>
      </c>
      <c r="S186" s="3"/>
    </row>
    <row r="187" spans="1:19" ht="14.4" x14ac:dyDescent="0.3">
      <c r="A187" s="9">
        <v>180</v>
      </c>
      <c r="B187" s="14" t="s">
        <v>429</v>
      </c>
      <c r="C187" s="14"/>
      <c r="D187" s="14"/>
      <c r="E187" s="14"/>
      <c r="F187" s="49" t="s">
        <v>430</v>
      </c>
      <c r="G187" s="4" t="s">
        <v>101</v>
      </c>
      <c r="H187" s="13" t="s">
        <v>85</v>
      </c>
      <c r="I187" s="4"/>
      <c r="J187" s="4"/>
      <c r="K187" s="4"/>
      <c r="L187" s="4"/>
      <c r="M187" s="4"/>
      <c r="N187" s="4"/>
      <c r="O187" s="3"/>
      <c r="P187" s="4"/>
      <c r="Q187" s="4"/>
      <c r="R187" s="50" t="s">
        <v>82</v>
      </c>
      <c r="S187" s="3"/>
    </row>
    <row r="188" spans="1:19" ht="72" x14ac:dyDescent="0.3">
      <c r="A188" s="9">
        <v>181</v>
      </c>
      <c r="B188" s="14" t="s">
        <v>429</v>
      </c>
      <c r="C188" s="14"/>
      <c r="D188" s="14"/>
      <c r="E188" s="14"/>
      <c r="F188" s="49" t="s">
        <v>431</v>
      </c>
      <c r="G188" s="4" t="s">
        <v>125</v>
      </c>
      <c r="H188" s="13" t="s">
        <v>85</v>
      </c>
      <c r="I188" s="4" t="s">
        <v>432</v>
      </c>
      <c r="J188" s="4" t="s">
        <v>432</v>
      </c>
      <c r="K188" s="4"/>
      <c r="L188" s="4"/>
      <c r="M188" s="4"/>
      <c r="N188" s="4"/>
      <c r="O188" s="3"/>
      <c r="P188" s="4"/>
      <c r="Q188" s="4"/>
      <c r="R188" s="50" t="s">
        <v>82</v>
      </c>
      <c r="S188" s="3"/>
    </row>
    <row r="189" spans="1:19" ht="72" x14ac:dyDescent="0.3">
      <c r="A189" s="9">
        <v>182</v>
      </c>
      <c r="B189" s="14" t="s">
        <v>429</v>
      </c>
      <c r="C189" s="14"/>
      <c r="D189" s="14"/>
      <c r="E189" s="14"/>
      <c r="F189" s="49" t="s">
        <v>433</v>
      </c>
      <c r="G189" s="4" t="s">
        <v>125</v>
      </c>
      <c r="H189" s="13" t="s">
        <v>85</v>
      </c>
      <c r="I189" s="4" t="s">
        <v>434</v>
      </c>
      <c r="J189" s="4" t="s">
        <v>434</v>
      </c>
      <c r="K189" s="4"/>
      <c r="L189" s="4"/>
      <c r="M189" s="4"/>
      <c r="N189" s="4"/>
      <c r="O189" s="3"/>
      <c r="P189" s="4"/>
      <c r="Q189" s="4"/>
      <c r="R189" s="50" t="s">
        <v>82</v>
      </c>
      <c r="S189" s="3"/>
    </row>
    <row r="190" spans="1:19" ht="86.4" x14ac:dyDescent="0.3">
      <c r="A190" s="9">
        <v>183</v>
      </c>
      <c r="B190" s="14" t="s">
        <v>429</v>
      </c>
      <c r="C190" s="14"/>
      <c r="D190" s="14"/>
      <c r="E190" s="14"/>
      <c r="F190" s="49" t="s">
        <v>435</v>
      </c>
      <c r="G190" s="4" t="s">
        <v>125</v>
      </c>
      <c r="H190" s="13" t="s">
        <v>85</v>
      </c>
      <c r="I190" s="4" t="s">
        <v>436</v>
      </c>
      <c r="J190" s="4" t="s">
        <v>436</v>
      </c>
      <c r="K190" s="4"/>
      <c r="L190" s="4"/>
      <c r="M190" s="4"/>
      <c r="N190" s="4"/>
      <c r="O190" s="3"/>
      <c r="P190" s="3"/>
      <c r="Q190" s="3"/>
      <c r="R190" s="50" t="s">
        <v>82</v>
      </c>
      <c r="S190" s="3"/>
    </row>
    <row r="191" spans="1:19" ht="57.6" x14ac:dyDescent="0.3">
      <c r="A191" s="9">
        <v>184</v>
      </c>
      <c r="B191" s="14" t="s">
        <v>429</v>
      </c>
      <c r="C191" s="14"/>
      <c r="D191" s="14"/>
      <c r="E191" s="14"/>
      <c r="F191" s="49" t="s">
        <v>437</v>
      </c>
      <c r="G191" s="4" t="s">
        <v>125</v>
      </c>
      <c r="H191" s="13" t="s">
        <v>85</v>
      </c>
      <c r="I191" s="4" t="s">
        <v>438</v>
      </c>
      <c r="J191" s="4" t="s">
        <v>438</v>
      </c>
      <c r="K191" s="4"/>
      <c r="L191" s="4"/>
      <c r="M191" s="4"/>
      <c r="N191" s="4"/>
      <c r="O191" s="3"/>
      <c r="P191" s="3"/>
      <c r="Q191" s="3"/>
      <c r="R191" s="50" t="s">
        <v>82</v>
      </c>
      <c r="S191" s="3"/>
    </row>
    <row r="192" spans="1:19" ht="43.2" x14ac:dyDescent="0.3">
      <c r="A192" s="9">
        <v>185</v>
      </c>
      <c r="B192" s="14" t="s">
        <v>429</v>
      </c>
      <c r="C192" s="14"/>
      <c r="D192" s="14"/>
      <c r="E192" s="14"/>
      <c r="F192" s="49" t="s">
        <v>439</v>
      </c>
      <c r="G192" s="4" t="s">
        <v>125</v>
      </c>
      <c r="H192" s="13" t="s">
        <v>85</v>
      </c>
      <c r="I192" s="4" t="s">
        <v>440</v>
      </c>
      <c r="J192" s="4" t="s">
        <v>440</v>
      </c>
      <c r="K192" s="4"/>
      <c r="L192" s="4"/>
      <c r="M192" s="4"/>
      <c r="N192" s="4"/>
      <c r="O192" s="3"/>
      <c r="P192" s="3"/>
      <c r="Q192" s="3"/>
      <c r="R192" s="50" t="s">
        <v>82</v>
      </c>
      <c r="S192" s="3"/>
    </row>
    <row r="193" spans="1:19" ht="57.6" x14ac:dyDescent="0.3">
      <c r="A193" s="9">
        <v>186</v>
      </c>
      <c r="B193" s="14" t="s">
        <v>429</v>
      </c>
      <c r="C193" s="14"/>
      <c r="D193" s="14"/>
      <c r="E193" s="14"/>
      <c r="F193" s="49" t="s">
        <v>441</v>
      </c>
      <c r="G193" s="4" t="s">
        <v>125</v>
      </c>
      <c r="H193" s="13" t="s">
        <v>85</v>
      </c>
      <c r="I193" s="4" t="s">
        <v>442</v>
      </c>
      <c r="J193" s="4" t="s">
        <v>442</v>
      </c>
      <c r="K193" s="4"/>
      <c r="L193" s="4"/>
      <c r="M193" s="4"/>
      <c r="N193" s="4"/>
      <c r="O193" s="3"/>
      <c r="P193" s="4"/>
      <c r="Q193" s="4"/>
      <c r="R193" s="50" t="s">
        <v>82</v>
      </c>
      <c r="S193" s="3"/>
    </row>
    <row r="194" spans="1:19" ht="14.4" x14ac:dyDescent="0.3">
      <c r="A194" s="9">
        <v>187</v>
      </c>
      <c r="B194" s="14" t="s">
        <v>443</v>
      </c>
      <c r="C194" s="14"/>
      <c r="D194" s="14"/>
      <c r="E194" s="14"/>
      <c r="F194" s="49" t="s">
        <v>444</v>
      </c>
      <c r="G194" s="4"/>
      <c r="H194" s="13" t="s">
        <v>85</v>
      </c>
      <c r="I194" s="4"/>
      <c r="J194" s="4"/>
      <c r="K194" s="4"/>
      <c r="L194" s="4"/>
      <c r="M194" s="4"/>
      <c r="N194" s="4"/>
      <c r="O194" s="3"/>
      <c r="P194" s="4"/>
      <c r="Q194" s="4"/>
      <c r="R194" s="50" t="s">
        <v>82</v>
      </c>
      <c r="S194" s="3"/>
    </row>
    <row r="195" spans="1:19" ht="14.4" x14ac:dyDescent="0.3">
      <c r="A195" s="9">
        <v>188</v>
      </c>
      <c r="B195" s="14" t="s">
        <v>443</v>
      </c>
      <c r="C195" s="14"/>
      <c r="D195" s="14"/>
      <c r="E195" s="14"/>
      <c r="F195" s="49" t="s">
        <v>445</v>
      </c>
      <c r="G195" s="4"/>
      <c r="H195" s="13" t="s">
        <v>85</v>
      </c>
      <c r="I195" s="4"/>
      <c r="J195" s="4"/>
      <c r="K195" s="4"/>
      <c r="L195" s="4"/>
      <c r="M195" s="4"/>
      <c r="N195" s="4"/>
      <c r="O195" s="3"/>
      <c r="P195" s="4"/>
      <c r="Q195" s="4"/>
      <c r="R195" s="50" t="s">
        <v>82</v>
      </c>
      <c r="S195" s="3"/>
    </row>
    <row r="196" spans="1:19" ht="14.4" x14ac:dyDescent="0.3">
      <c r="A196" s="9">
        <v>189</v>
      </c>
      <c r="B196" s="14" t="s">
        <v>443</v>
      </c>
      <c r="C196" s="14"/>
      <c r="D196" s="14"/>
      <c r="E196" s="14"/>
      <c r="F196" s="49" t="s">
        <v>425</v>
      </c>
      <c r="G196" s="4"/>
      <c r="H196" s="13" t="s">
        <v>85</v>
      </c>
      <c r="I196" s="4"/>
      <c r="J196" s="4"/>
      <c r="K196" s="4"/>
      <c r="L196" s="4"/>
      <c r="M196" s="4"/>
      <c r="N196" s="4"/>
      <c r="O196" s="3"/>
      <c r="P196" s="4"/>
      <c r="Q196" s="4"/>
      <c r="R196" s="50" t="s">
        <v>82</v>
      </c>
      <c r="S196" s="3"/>
    </row>
    <row r="197" spans="1:19" ht="28.8" x14ac:dyDescent="0.3">
      <c r="A197" s="9">
        <v>190</v>
      </c>
      <c r="B197" s="14" t="s">
        <v>446</v>
      </c>
      <c r="C197" s="13" t="s">
        <v>82</v>
      </c>
      <c r="D197" s="14"/>
      <c r="E197" s="14"/>
      <c r="F197" s="49" t="s">
        <v>335</v>
      </c>
      <c r="G197" s="4" t="s">
        <v>101</v>
      </c>
      <c r="H197" s="13" t="s">
        <v>85</v>
      </c>
      <c r="I197" s="4" t="s">
        <v>447</v>
      </c>
      <c r="J197" s="4" t="s">
        <v>447</v>
      </c>
      <c r="K197" s="4"/>
      <c r="L197" s="13"/>
      <c r="M197" s="9" t="s">
        <v>82</v>
      </c>
      <c r="N197" s="4"/>
      <c r="O197" s="3" t="s">
        <v>448</v>
      </c>
      <c r="P197" s="4" t="s">
        <v>86</v>
      </c>
      <c r="Q197" s="85" t="s">
        <v>87</v>
      </c>
      <c r="R197" s="50" t="s">
        <v>82</v>
      </c>
      <c r="S197" s="3"/>
    </row>
    <row r="198" spans="1:19" ht="86.4" x14ac:dyDescent="0.3">
      <c r="A198" s="9">
        <v>191</v>
      </c>
      <c r="B198" s="14" t="s">
        <v>446</v>
      </c>
      <c r="C198" s="13" t="s">
        <v>82</v>
      </c>
      <c r="D198" s="14"/>
      <c r="E198" s="14"/>
      <c r="F198" s="49" t="s">
        <v>449</v>
      </c>
      <c r="G198" s="4" t="s">
        <v>101</v>
      </c>
      <c r="H198" s="13" t="s">
        <v>85</v>
      </c>
      <c r="I198" s="4" t="s">
        <v>450</v>
      </c>
      <c r="J198" s="4" t="s">
        <v>450</v>
      </c>
      <c r="K198" s="4"/>
      <c r="L198" s="13"/>
      <c r="M198" s="4"/>
      <c r="N198" s="4"/>
      <c r="O198" s="3"/>
      <c r="P198" s="4" t="s">
        <v>86</v>
      </c>
      <c r="Q198" s="85" t="s">
        <v>87</v>
      </c>
      <c r="R198" s="50" t="s">
        <v>82</v>
      </c>
      <c r="S198" s="3"/>
    </row>
    <row r="199" spans="1:19" ht="28.8" x14ac:dyDescent="0.3">
      <c r="A199" s="9">
        <v>192</v>
      </c>
      <c r="B199" s="14" t="s">
        <v>446</v>
      </c>
      <c r="C199" s="13" t="s">
        <v>82</v>
      </c>
      <c r="D199" s="14"/>
      <c r="E199" s="14"/>
      <c r="F199" s="49" t="s">
        <v>451</v>
      </c>
      <c r="G199" s="4" t="s">
        <v>101</v>
      </c>
      <c r="H199" s="13" t="s">
        <v>85</v>
      </c>
      <c r="I199" s="4" t="s">
        <v>452</v>
      </c>
      <c r="J199" s="4" t="s">
        <v>452</v>
      </c>
      <c r="K199" s="4"/>
      <c r="L199" s="13"/>
      <c r="M199" s="9" t="s">
        <v>82</v>
      </c>
      <c r="N199" s="4"/>
      <c r="O199" s="68" t="s">
        <v>453</v>
      </c>
      <c r="P199" s="4" t="s">
        <v>86</v>
      </c>
      <c r="Q199" s="85" t="s">
        <v>87</v>
      </c>
      <c r="R199" s="157" t="s">
        <v>82</v>
      </c>
      <c r="S199" s="3"/>
    </row>
    <row r="200" spans="1:19" ht="172.8" x14ac:dyDescent="0.3">
      <c r="A200" s="9">
        <v>193</v>
      </c>
      <c r="B200" s="14" t="s">
        <v>454</v>
      </c>
      <c r="C200" s="13"/>
      <c r="D200" s="14"/>
      <c r="E200" s="104" t="s">
        <v>319</v>
      </c>
      <c r="F200" s="105" t="s">
        <v>109</v>
      </c>
      <c r="G200" s="85" t="s">
        <v>95</v>
      </c>
      <c r="H200" s="104" t="s">
        <v>82</v>
      </c>
      <c r="I200" s="104" t="s">
        <v>455</v>
      </c>
      <c r="J200" s="104" t="s">
        <v>455</v>
      </c>
      <c r="K200" s="4"/>
      <c r="L200" s="13"/>
      <c r="M200" s="9"/>
      <c r="N200" s="4"/>
      <c r="O200" s="68"/>
      <c r="P200" s="4"/>
      <c r="Q200" s="153"/>
      <c r="R200" s="13" t="s">
        <v>85</v>
      </c>
      <c r="S200" s="156"/>
    </row>
    <row r="201" spans="1:19" ht="14.4" x14ac:dyDescent="0.3">
      <c r="A201" s="9">
        <v>194</v>
      </c>
      <c r="B201" s="14" t="s">
        <v>454</v>
      </c>
      <c r="C201" s="14"/>
      <c r="D201" s="14"/>
      <c r="E201" s="104" t="s">
        <v>319</v>
      </c>
      <c r="F201" s="104" t="s">
        <v>111</v>
      </c>
      <c r="G201" s="106" t="s">
        <v>98</v>
      </c>
      <c r="H201" s="106" t="s">
        <v>82</v>
      </c>
      <c r="I201" s="107" t="s">
        <v>321</v>
      </c>
      <c r="J201" s="107" t="s">
        <v>321</v>
      </c>
      <c r="K201" s="18"/>
      <c r="L201" s="4"/>
      <c r="M201" s="4"/>
      <c r="N201" s="4"/>
      <c r="O201" s="3"/>
      <c r="P201" s="4"/>
      <c r="Q201" s="4"/>
      <c r="R201" s="159" t="s">
        <v>82</v>
      </c>
      <c r="S201" s="3"/>
    </row>
    <row r="202" spans="1:19" ht="53.4" x14ac:dyDescent="0.3">
      <c r="A202" s="9">
        <v>195</v>
      </c>
      <c r="B202" s="14" t="s">
        <v>454</v>
      </c>
      <c r="C202" s="14"/>
      <c r="D202" s="14"/>
      <c r="E202" s="14"/>
      <c r="F202" s="49" t="s">
        <v>423</v>
      </c>
      <c r="G202" s="4" t="s">
        <v>101</v>
      </c>
      <c r="H202" s="13" t="s">
        <v>85</v>
      </c>
      <c r="I202" s="18" t="s">
        <v>456</v>
      </c>
      <c r="J202" s="18" t="s">
        <v>456</v>
      </c>
      <c r="K202" s="18"/>
      <c r="L202" s="4"/>
      <c r="M202" s="4"/>
      <c r="N202" s="4"/>
      <c r="O202" s="3"/>
      <c r="P202" s="4"/>
      <c r="Q202" s="4"/>
      <c r="R202" s="50" t="s">
        <v>82</v>
      </c>
      <c r="S202" s="3"/>
    </row>
    <row r="203" spans="1:19" ht="27" x14ac:dyDescent="0.3">
      <c r="A203" s="9">
        <v>196</v>
      </c>
      <c r="B203" s="14" t="s">
        <v>454</v>
      </c>
      <c r="C203" s="14"/>
      <c r="D203" s="14"/>
      <c r="E203" s="14"/>
      <c r="F203" s="49" t="s">
        <v>289</v>
      </c>
      <c r="G203" s="4" t="s">
        <v>101</v>
      </c>
      <c r="H203" s="13" t="s">
        <v>85</v>
      </c>
      <c r="I203" s="18" t="s">
        <v>457</v>
      </c>
      <c r="J203" s="18" t="s">
        <v>457</v>
      </c>
      <c r="K203" s="18"/>
      <c r="L203" s="4"/>
      <c r="M203" s="9" t="s">
        <v>82</v>
      </c>
      <c r="N203" s="4"/>
      <c r="O203" s="68" t="s">
        <v>291</v>
      </c>
      <c r="P203" s="4"/>
      <c r="Q203" s="4"/>
      <c r="R203" s="50" t="s">
        <v>82</v>
      </c>
      <c r="S203" s="3"/>
    </row>
    <row r="204" spans="1:19" ht="27" x14ac:dyDescent="0.3">
      <c r="A204" s="9">
        <v>197</v>
      </c>
      <c r="B204" s="14" t="s">
        <v>454</v>
      </c>
      <c r="C204" s="14"/>
      <c r="D204" s="14"/>
      <c r="E204" s="14"/>
      <c r="F204" s="49" t="s">
        <v>425</v>
      </c>
      <c r="G204" s="4" t="s">
        <v>101</v>
      </c>
      <c r="H204" s="13" t="s">
        <v>85</v>
      </c>
      <c r="I204" s="18" t="s">
        <v>458</v>
      </c>
      <c r="J204" s="18" t="s">
        <v>458</v>
      </c>
      <c r="K204" s="18"/>
      <c r="L204" s="4"/>
      <c r="M204" s="4"/>
      <c r="N204" s="4"/>
      <c r="O204" s="3"/>
      <c r="P204" s="4"/>
      <c r="Q204" s="4"/>
      <c r="R204" s="50" t="s">
        <v>82</v>
      </c>
      <c r="S204" s="3"/>
    </row>
    <row r="205" spans="1:19" ht="14.4" x14ac:dyDescent="0.3">
      <c r="A205" s="9">
        <v>198</v>
      </c>
      <c r="B205" s="14" t="s">
        <v>459</v>
      </c>
      <c r="C205" s="14"/>
      <c r="D205" s="14"/>
      <c r="E205" s="14"/>
      <c r="F205" s="49" t="s">
        <v>460</v>
      </c>
      <c r="G205" s="4" t="s">
        <v>17</v>
      </c>
      <c r="H205" s="13" t="s">
        <v>85</v>
      </c>
      <c r="I205" s="4"/>
      <c r="J205" s="4"/>
      <c r="K205" s="4"/>
      <c r="L205" s="4"/>
      <c r="M205" s="4"/>
      <c r="N205" s="4"/>
      <c r="O205" s="3"/>
      <c r="P205" s="4"/>
      <c r="Q205" s="4"/>
      <c r="R205" s="50" t="s">
        <v>82</v>
      </c>
      <c r="S205" s="3"/>
    </row>
    <row r="206" spans="1:19" ht="14.4" x14ac:dyDescent="0.3">
      <c r="A206" s="9">
        <v>199</v>
      </c>
      <c r="B206" s="14" t="s">
        <v>459</v>
      </c>
      <c r="C206" s="14"/>
      <c r="D206" s="14"/>
      <c r="E206" s="14"/>
      <c r="F206" s="49" t="s">
        <v>461</v>
      </c>
      <c r="G206" s="4" t="s">
        <v>101</v>
      </c>
      <c r="H206" s="13" t="s">
        <v>85</v>
      </c>
      <c r="I206" s="4"/>
      <c r="J206" s="4"/>
      <c r="K206" s="4"/>
      <c r="L206" s="4"/>
      <c r="M206" s="9" t="s">
        <v>82</v>
      </c>
      <c r="N206" s="4"/>
      <c r="O206" s="68" t="s">
        <v>374</v>
      </c>
      <c r="P206" s="4"/>
      <c r="Q206" s="4"/>
      <c r="R206" s="50" t="s">
        <v>82</v>
      </c>
      <c r="S206" s="3"/>
    </row>
    <row r="207" spans="1:19" ht="14.4" x14ac:dyDescent="0.3">
      <c r="A207" s="9">
        <v>200</v>
      </c>
      <c r="B207" s="14" t="s">
        <v>459</v>
      </c>
      <c r="C207" s="14"/>
      <c r="D207" s="14"/>
      <c r="E207" s="14"/>
      <c r="F207" s="49" t="s">
        <v>462</v>
      </c>
      <c r="G207" s="4" t="s">
        <v>101</v>
      </c>
      <c r="H207" s="13" t="s">
        <v>85</v>
      </c>
      <c r="I207" s="4"/>
      <c r="J207" s="4"/>
      <c r="K207" s="4"/>
      <c r="L207" s="4"/>
      <c r="M207" s="9" t="s">
        <v>82</v>
      </c>
      <c r="N207" s="4"/>
      <c r="O207" s="68" t="s">
        <v>463</v>
      </c>
      <c r="P207" s="4"/>
      <c r="Q207" s="4"/>
      <c r="R207" s="50" t="s">
        <v>82</v>
      </c>
      <c r="S207" s="3"/>
    </row>
    <row r="208" spans="1:19" ht="14.4" x14ac:dyDescent="0.3">
      <c r="A208" s="9">
        <v>201</v>
      </c>
      <c r="B208" s="14" t="s">
        <v>459</v>
      </c>
      <c r="C208" s="14"/>
      <c r="D208" s="14"/>
      <c r="E208" s="14"/>
      <c r="F208" s="49" t="s">
        <v>464</v>
      </c>
      <c r="G208" s="4" t="s">
        <v>101</v>
      </c>
      <c r="H208" s="13" t="s">
        <v>85</v>
      </c>
      <c r="I208" s="4"/>
      <c r="J208" s="4"/>
      <c r="K208" s="4"/>
      <c r="L208" s="4"/>
      <c r="M208" s="9" t="s">
        <v>82</v>
      </c>
      <c r="N208" s="4"/>
      <c r="O208" s="68" t="s">
        <v>465</v>
      </c>
      <c r="P208" s="4"/>
      <c r="Q208" s="4"/>
      <c r="R208" s="50" t="s">
        <v>82</v>
      </c>
      <c r="S208" s="3"/>
    </row>
    <row r="209" spans="1:19" ht="14.4" x14ac:dyDescent="0.3">
      <c r="A209" s="9">
        <v>202</v>
      </c>
      <c r="B209" s="14" t="s">
        <v>459</v>
      </c>
      <c r="C209" s="14"/>
      <c r="D209" s="14"/>
      <c r="E209" s="14"/>
      <c r="F209" s="49" t="s">
        <v>425</v>
      </c>
      <c r="G209" s="4" t="s">
        <v>101</v>
      </c>
      <c r="H209" s="13" t="s">
        <v>85</v>
      </c>
      <c r="I209" s="4"/>
      <c r="J209" s="4"/>
      <c r="K209" s="4"/>
      <c r="L209" s="4"/>
      <c r="M209" s="4"/>
      <c r="N209" s="4"/>
      <c r="O209" s="3"/>
      <c r="P209" s="4"/>
      <c r="Q209" s="4"/>
      <c r="R209" s="50" t="s">
        <v>82</v>
      </c>
      <c r="S209" s="3"/>
    </row>
    <row r="210" spans="1:19" ht="72" x14ac:dyDescent="0.3">
      <c r="A210" s="9">
        <v>203</v>
      </c>
      <c r="B210" s="14" t="s">
        <v>466</v>
      </c>
      <c r="C210" s="14"/>
      <c r="D210" s="14"/>
      <c r="E210" s="14"/>
      <c r="F210" s="49" t="s">
        <v>467</v>
      </c>
      <c r="G210" s="4" t="s">
        <v>81</v>
      </c>
      <c r="H210" s="13" t="s">
        <v>85</v>
      </c>
      <c r="I210" s="4" t="s">
        <v>468</v>
      </c>
      <c r="J210" s="4"/>
      <c r="K210" s="4"/>
      <c r="L210" s="4"/>
      <c r="M210" s="4"/>
      <c r="N210" s="4"/>
      <c r="O210" s="3"/>
      <c r="P210" s="4"/>
      <c r="Q210" s="4"/>
      <c r="R210" s="50" t="s">
        <v>82</v>
      </c>
      <c r="S210" s="3"/>
    </row>
    <row r="211" spans="1:19" ht="86.4" x14ac:dyDescent="0.3">
      <c r="A211" s="9">
        <v>204</v>
      </c>
      <c r="B211" s="14" t="s">
        <v>466</v>
      </c>
      <c r="C211" s="14"/>
      <c r="D211" s="14"/>
      <c r="E211" s="14"/>
      <c r="F211" s="49" t="s">
        <v>469</v>
      </c>
      <c r="G211" s="4" t="s">
        <v>101</v>
      </c>
      <c r="H211" s="13" t="s">
        <v>85</v>
      </c>
      <c r="I211" s="4" t="s">
        <v>470</v>
      </c>
      <c r="J211" s="4"/>
      <c r="K211" s="4"/>
      <c r="L211" s="4"/>
      <c r="M211" s="4"/>
      <c r="N211" s="4"/>
      <c r="O211" s="3"/>
      <c r="P211" s="4"/>
      <c r="Q211" s="4"/>
      <c r="R211" s="50" t="s">
        <v>82</v>
      </c>
      <c r="S211" s="3"/>
    </row>
    <row r="212" spans="1:19" ht="57.6" x14ac:dyDescent="0.3">
      <c r="A212" s="9">
        <v>205</v>
      </c>
      <c r="B212" s="14" t="s">
        <v>466</v>
      </c>
      <c r="C212" s="14"/>
      <c r="D212" s="14"/>
      <c r="E212" s="14"/>
      <c r="F212" s="49" t="s">
        <v>471</v>
      </c>
      <c r="G212" s="4" t="s">
        <v>101</v>
      </c>
      <c r="H212" s="13" t="s">
        <v>85</v>
      </c>
      <c r="I212" s="4" t="s">
        <v>472</v>
      </c>
      <c r="J212" s="4"/>
      <c r="K212" s="4"/>
      <c r="L212" s="4"/>
      <c r="M212" s="4"/>
      <c r="N212" s="4"/>
      <c r="O212" s="3"/>
      <c r="P212" s="4"/>
      <c r="Q212" s="4"/>
      <c r="R212" s="50" t="s">
        <v>82</v>
      </c>
      <c r="S212" s="3"/>
    </row>
    <row r="213" spans="1:19" s="144" customFormat="1" ht="28.95" customHeight="1" x14ac:dyDescent="0.3">
      <c r="A213" s="139">
        <v>203</v>
      </c>
      <c r="B213" s="138" t="s">
        <v>466</v>
      </c>
      <c r="C213" s="138"/>
      <c r="D213" s="138"/>
      <c r="E213" s="138"/>
      <c r="F213" s="140" t="s">
        <v>473</v>
      </c>
      <c r="G213" s="4" t="s">
        <v>101</v>
      </c>
      <c r="H213" s="72" t="s">
        <v>85</v>
      </c>
      <c r="I213" s="179" t="s">
        <v>474</v>
      </c>
      <c r="J213" s="141"/>
      <c r="K213" s="141"/>
      <c r="L213" s="141"/>
      <c r="M213" s="141"/>
      <c r="N213" s="141"/>
      <c r="O213" s="142"/>
      <c r="P213" s="141"/>
      <c r="Q213" s="141"/>
      <c r="R213" s="143" t="s">
        <v>82</v>
      </c>
      <c r="S213" s="142"/>
    </row>
    <row r="214" spans="1:19" s="144" customFormat="1" ht="14.4" x14ac:dyDescent="0.3">
      <c r="A214" s="139">
        <v>204</v>
      </c>
      <c r="B214" s="138" t="s">
        <v>466</v>
      </c>
      <c r="C214" s="138"/>
      <c r="D214" s="138"/>
      <c r="E214" s="138"/>
      <c r="F214" s="140" t="s">
        <v>118</v>
      </c>
      <c r="G214" s="141" t="s">
        <v>101</v>
      </c>
      <c r="H214" s="72" t="s">
        <v>85</v>
      </c>
      <c r="I214" s="180"/>
      <c r="J214" s="141"/>
      <c r="K214" s="141"/>
      <c r="L214" s="141"/>
      <c r="M214" s="141"/>
      <c r="N214" s="141"/>
      <c r="O214" s="142"/>
      <c r="P214" s="141"/>
      <c r="Q214" s="141"/>
      <c r="R214" s="143" t="s">
        <v>82</v>
      </c>
      <c r="S214" s="142"/>
    </row>
    <row r="215" spans="1:19" s="144" customFormat="1" ht="14.4" x14ac:dyDescent="0.3">
      <c r="A215" s="139">
        <v>205</v>
      </c>
      <c r="B215" s="138" t="s">
        <v>466</v>
      </c>
      <c r="C215" s="138"/>
      <c r="D215" s="138"/>
      <c r="E215" s="138"/>
      <c r="F215" s="140" t="s">
        <v>475</v>
      </c>
      <c r="G215" s="141" t="s">
        <v>101</v>
      </c>
      <c r="H215" s="72" t="s">
        <v>85</v>
      </c>
      <c r="I215" s="180"/>
      <c r="J215" s="141"/>
      <c r="K215" s="141"/>
      <c r="L215" s="141"/>
      <c r="M215" s="141"/>
      <c r="N215" s="141"/>
      <c r="O215" s="142"/>
      <c r="P215" s="141"/>
      <c r="Q215" s="141"/>
      <c r="R215" s="143" t="s">
        <v>82</v>
      </c>
      <c r="S215" s="142"/>
    </row>
    <row r="216" spans="1:19" s="144" customFormat="1" ht="14.4" x14ac:dyDescent="0.3">
      <c r="A216" s="139">
        <v>205</v>
      </c>
      <c r="B216" s="138" t="s">
        <v>466</v>
      </c>
      <c r="C216" s="138"/>
      <c r="D216" s="138"/>
      <c r="E216" s="138"/>
      <c r="F216" s="140" t="s">
        <v>476</v>
      </c>
      <c r="G216" s="141" t="s">
        <v>101</v>
      </c>
      <c r="H216" s="72" t="s">
        <v>85</v>
      </c>
      <c r="I216" s="181"/>
      <c r="J216" s="141"/>
      <c r="K216" s="141"/>
      <c r="L216" s="141"/>
      <c r="M216" s="141"/>
      <c r="N216" s="141"/>
      <c r="O216" s="142"/>
      <c r="P216" s="141"/>
      <c r="Q216" s="141"/>
      <c r="R216" s="158" t="s">
        <v>82</v>
      </c>
      <c r="S216" s="142"/>
    </row>
    <row r="217" spans="1:19" ht="18" x14ac:dyDescent="0.35">
      <c r="A217" s="170" t="s">
        <v>477</v>
      </c>
      <c r="B217" s="171"/>
      <c r="C217" s="171"/>
      <c r="D217" s="171"/>
      <c r="E217" s="171"/>
      <c r="F217" s="171"/>
      <c r="G217" s="171"/>
      <c r="H217" s="171"/>
      <c r="I217" s="171"/>
      <c r="J217" s="171"/>
      <c r="K217" s="171"/>
      <c r="L217" s="171"/>
      <c r="M217" s="171"/>
      <c r="N217" s="171"/>
      <c r="O217" s="172"/>
    </row>
    <row r="218" spans="1:19" ht="57.6" x14ac:dyDescent="0.3">
      <c r="A218" s="38" t="s">
        <v>60</v>
      </c>
      <c r="B218" s="5" t="s">
        <v>61</v>
      </c>
      <c r="C218" s="5" t="s">
        <v>62</v>
      </c>
      <c r="D218" s="5" t="s">
        <v>63</v>
      </c>
      <c r="E218" s="29" t="s">
        <v>65</v>
      </c>
      <c r="F218" s="5" t="s">
        <v>66</v>
      </c>
      <c r="G218" s="5" t="s">
        <v>478</v>
      </c>
      <c r="H218" s="5" t="s">
        <v>68</v>
      </c>
      <c r="I218" s="5" t="s">
        <v>479</v>
      </c>
      <c r="J218" s="5"/>
      <c r="K218" s="5" t="s">
        <v>72</v>
      </c>
      <c r="L218" s="5" t="s">
        <v>73</v>
      </c>
      <c r="M218" s="6" t="s">
        <v>74</v>
      </c>
      <c r="N218" s="7" t="s">
        <v>480</v>
      </c>
      <c r="O218" s="7" t="s">
        <v>481</v>
      </c>
    </row>
    <row r="219" spans="1:19" ht="28.8" x14ac:dyDescent="0.3">
      <c r="A219" s="37">
        <v>1</v>
      </c>
      <c r="B219" s="3" t="s">
        <v>482</v>
      </c>
      <c r="C219" s="10" t="s">
        <v>85</v>
      </c>
      <c r="D219" s="3"/>
      <c r="E219" s="48" t="s">
        <v>483</v>
      </c>
      <c r="F219" s="3" t="s">
        <v>125</v>
      </c>
      <c r="G219" s="13" t="s">
        <v>82</v>
      </c>
      <c r="H219" s="4" t="s">
        <v>484</v>
      </c>
      <c r="I219" s="13" t="s">
        <v>85</v>
      </c>
      <c r="J219" s="13"/>
      <c r="K219" s="3"/>
      <c r="L219" s="3"/>
      <c r="M219" s="3"/>
      <c r="N219" s="3"/>
      <c r="O219" s="3"/>
    </row>
    <row r="220" spans="1:19" ht="216" x14ac:dyDescent="0.3">
      <c r="A220" s="34">
        <v>2</v>
      </c>
      <c r="B220" s="3" t="s">
        <v>482</v>
      </c>
      <c r="C220" s="10" t="s">
        <v>82</v>
      </c>
      <c r="D220" s="3"/>
      <c r="E220" s="48" t="s">
        <v>485</v>
      </c>
      <c r="F220" s="3" t="s">
        <v>101</v>
      </c>
      <c r="G220" s="13" t="s">
        <v>82</v>
      </c>
      <c r="H220" s="4" t="s">
        <v>486</v>
      </c>
      <c r="I220" s="13" t="s">
        <v>82</v>
      </c>
      <c r="J220" s="13"/>
      <c r="K220" s="3"/>
      <c r="L220" s="3"/>
      <c r="M220" s="3"/>
      <c r="N220" s="3"/>
      <c r="O220" s="3"/>
    </row>
    <row r="221" spans="1:19" ht="14.4" x14ac:dyDescent="0.3">
      <c r="A221" s="37">
        <v>3</v>
      </c>
      <c r="B221" s="3" t="s">
        <v>482</v>
      </c>
      <c r="C221" s="10" t="s">
        <v>85</v>
      </c>
      <c r="D221" s="3"/>
      <c r="E221" s="48" t="s">
        <v>487</v>
      </c>
      <c r="F221" s="3" t="s">
        <v>101</v>
      </c>
      <c r="G221" s="13" t="s">
        <v>82</v>
      </c>
      <c r="H221" s="89" t="s">
        <v>488</v>
      </c>
      <c r="I221" s="13" t="s">
        <v>85</v>
      </c>
      <c r="J221" s="13"/>
      <c r="K221" s="3"/>
      <c r="L221" s="3"/>
      <c r="M221" s="3"/>
      <c r="N221" s="3"/>
      <c r="O221" s="3"/>
    </row>
    <row r="222" spans="1:19" ht="57.6" x14ac:dyDescent="0.3">
      <c r="A222" s="34">
        <v>4</v>
      </c>
      <c r="B222" s="3" t="s">
        <v>482</v>
      </c>
      <c r="C222" s="10" t="s">
        <v>85</v>
      </c>
      <c r="D222" s="3"/>
      <c r="E222" s="3" t="s">
        <v>489</v>
      </c>
      <c r="F222" s="3" t="s">
        <v>101</v>
      </c>
      <c r="G222" s="13" t="s">
        <v>82</v>
      </c>
      <c r="H222" s="4" t="s">
        <v>490</v>
      </c>
      <c r="I222" s="13" t="s">
        <v>85</v>
      </c>
      <c r="J222" s="13"/>
      <c r="K222" s="3"/>
      <c r="L222" s="3"/>
      <c r="M222" s="3"/>
      <c r="N222" s="3"/>
      <c r="O222" s="3" t="s">
        <v>85</v>
      </c>
    </row>
    <row r="223" spans="1:19" ht="57.6" x14ac:dyDescent="0.3">
      <c r="A223" s="37">
        <v>5</v>
      </c>
      <c r="B223" s="3" t="s">
        <v>482</v>
      </c>
      <c r="C223" s="10" t="s">
        <v>85</v>
      </c>
      <c r="D223" s="3"/>
      <c r="E223" s="48" t="s">
        <v>491</v>
      </c>
      <c r="F223" s="3" t="s">
        <v>492</v>
      </c>
      <c r="G223" s="13" t="s">
        <v>82</v>
      </c>
      <c r="H223" s="4" t="s">
        <v>493</v>
      </c>
      <c r="I223" s="13" t="s">
        <v>85</v>
      </c>
      <c r="J223" s="13"/>
      <c r="K223" s="3"/>
      <c r="L223" s="3"/>
      <c r="M223" s="3"/>
      <c r="N223" s="3"/>
      <c r="O223" s="3" t="s">
        <v>85</v>
      </c>
    </row>
    <row r="224" spans="1:19" ht="14.4" x14ac:dyDescent="0.3">
      <c r="A224" s="165" t="s">
        <v>494</v>
      </c>
      <c r="B224" s="165"/>
      <c r="C224" s="165"/>
      <c r="D224" s="165"/>
      <c r="E224" s="165"/>
      <c r="F224" s="165"/>
      <c r="G224" s="165"/>
      <c r="H224" s="165"/>
      <c r="I224" s="165"/>
      <c r="J224" s="165"/>
      <c r="K224" s="165"/>
      <c r="L224" s="165"/>
      <c r="M224" s="165"/>
      <c r="N224" s="165"/>
      <c r="O224" s="165"/>
    </row>
    <row r="225" spans="1:1" ht="14.4" x14ac:dyDescent="0.3">
      <c r="A225" s="20" t="s">
        <v>495</v>
      </c>
    </row>
    <row r="226" spans="1:1" ht="14.4" x14ac:dyDescent="0.3">
      <c r="A226" s="22" t="s">
        <v>496</v>
      </c>
    </row>
    <row r="267" spans="1:16" ht="18" x14ac:dyDescent="0.35">
      <c r="A267" s="166" t="s">
        <v>497</v>
      </c>
      <c r="B267" s="166"/>
      <c r="C267" s="166"/>
      <c r="D267" s="166"/>
      <c r="E267" s="166"/>
      <c r="F267" s="166"/>
      <c r="G267" s="166"/>
      <c r="H267" s="166"/>
      <c r="I267" s="166"/>
      <c r="J267" s="166"/>
      <c r="K267" s="166"/>
      <c r="L267" s="166"/>
      <c r="M267" s="166"/>
      <c r="N267" s="166"/>
      <c r="O267" s="166"/>
      <c r="P267" s="83"/>
    </row>
    <row r="268" spans="1:16" ht="28.8" x14ac:dyDescent="0.3">
      <c r="A268" s="9"/>
      <c r="B268" s="167" t="s">
        <v>498</v>
      </c>
      <c r="C268" s="167"/>
      <c r="D268" s="167"/>
      <c r="E268" s="167"/>
      <c r="F268" s="167"/>
      <c r="G268" s="167"/>
      <c r="H268" s="167"/>
      <c r="I268" s="167"/>
      <c r="J268" s="167"/>
      <c r="K268" s="167"/>
      <c r="L268" s="167"/>
      <c r="M268" s="12"/>
      <c r="N268" s="23" t="s">
        <v>499</v>
      </c>
      <c r="O268" s="4"/>
      <c r="P268" s="16"/>
    </row>
  </sheetData>
  <autoFilter ref="A7:T226" xr:uid="{FB063CE3-EDCD-488D-BE3E-77D3446AF8AE}"/>
  <mergeCells count="14">
    <mergeCell ref="S11:S12"/>
    <mergeCell ref="A224:O224"/>
    <mergeCell ref="A267:O267"/>
    <mergeCell ref="B268:L268"/>
    <mergeCell ref="A1:O1"/>
    <mergeCell ref="A2:O2"/>
    <mergeCell ref="A3:O3"/>
    <mergeCell ref="A4:O4"/>
    <mergeCell ref="A6:O6"/>
    <mergeCell ref="A217:O217"/>
    <mergeCell ref="H11:H12"/>
    <mergeCell ref="H17:H18"/>
    <mergeCell ref="H15:H16"/>
    <mergeCell ref="I213:I216"/>
  </mergeCells>
  <phoneticPr fontId="32" type="noConversion"/>
  <hyperlinks>
    <hyperlink ref="A226" location="Index!A1" display="Back to Index" xr:uid="{75236FA4-56B9-44DD-ABA4-C83DB37D2E42}"/>
  </hyperlink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96F76F-E79B-482E-BDF7-1D4024A9D527}">
  <dimension ref="A1:S234"/>
  <sheetViews>
    <sheetView zoomScale="80" zoomScaleNormal="80" workbookViewId="0">
      <pane xSplit="2" ySplit="13" topLeftCell="E116" activePane="bottomRight" state="frozen"/>
      <selection pane="topRight" activeCell="C1" sqref="C1"/>
      <selection pane="bottomLeft" activeCell="A14" sqref="A14"/>
      <selection pane="bottomRight" activeCell="I121" sqref="I121"/>
    </sheetView>
  </sheetViews>
  <sheetFormatPr defaultColWidth="9.109375" defaultRowHeight="14.4" x14ac:dyDescent="0.3"/>
  <cols>
    <col min="1" max="1" width="8.109375" style="57" bestFit="1" customWidth="1"/>
    <col min="2" max="2" width="32.6640625" style="58" bestFit="1" customWidth="1"/>
    <col min="3" max="3" width="33.33203125" style="58" bestFit="1" customWidth="1"/>
    <col min="4" max="4" width="31.33203125" style="58" bestFit="1" customWidth="1"/>
    <col min="5" max="5" width="28.5546875" style="35" bestFit="1" customWidth="1"/>
    <col min="6" max="6" width="22.109375" style="35" customWidth="1"/>
    <col min="7" max="7" width="15" style="35" bestFit="1" customWidth="1"/>
    <col min="8" max="8" width="58.44140625" style="35" bestFit="1" customWidth="1"/>
    <col min="9" max="9" width="37.88671875" style="35" customWidth="1"/>
    <col min="10" max="10" width="9.109375" style="35"/>
    <col min="11" max="11" width="16.6640625" style="35" customWidth="1"/>
    <col min="12" max="12" width="25.33203125" style="35" bestFit="1" customWidth="1"/>
    <col min="13" max="13" width="16.33203125" style="35" bestFit="1" customWidth="1"/>
    <col min="14" max="14" width="26" style="35" bestFit="1" customWidth="1"/>
    <col min="15" max="15" width="34.88671875" style="35" bestFit="1" customWidth="1"/>
    <col min="16" max="16" width="7.109375" style="35" bestFit="1" customWidth="1"/>
    <col min="17" max="17" width="9.88671875" style="35" bestFit="1" customWidth="1"/>
    <col min="18" max="16384" width="9.109375" style="35"/>
  </cols>
  <sheetData>
    <row r="1" spans="1:17" ht="18" hidden="1" x14ac:dyDescent="0.3">
      <c r="A1" s="201" t="s">
        <v>500</v>
      </c>
      <c r="B1" s="201"/>
      <c r="C1" s="201"/>
      <c r="D1" s="201"/>
      <c r="E1" s="201"/>
      <c r="F1" s="201"/>
      <c r="G1" s="201"/>
      <c r="H1" s="201"/>
      <c r="I1" s="201"/>
      <c r="J1" s="201"/>
      <c r="K1" s="201"/>
      <c r="L1" s="201"/>
      <c r="M1" s="201"/>
      <c r="N1" s="201"/>
      <c r="O1" s="116"/>
    </row>
    <row r="2" spans="1:17" ht="18" hidden="1" x14ac:dyDescent="0.3">
      <c r="A2" s="189" t="s">
        <v>55</v>
      </c>
      <c r="B2" s="190"/>
      <c r="C2" s="190"/>
      <c r="D2" s="190"/>
      <c r="E2" s="190"/>
      <c r="F2" s="190"/>
      <c r="G2" s="190"/>
      <c r="H2" s="190"/>
      <c r="I2" s="190"/>
      <c r="J2" s="190"/>
      <c r="K2" s="190"/>
      <c r="L2" s="190"/>
      <c r="M2" s="190"/>
      <c r="N2" s="191"/>
      <c r="O2" s="87"/>
    </row>
    <row r="3" spans="1:17" hidden="1" x14ac:dyDescent="0.3">
      <c r="A3" s="125">
        <v>1</v>
      </c>
      <c r="B3" s="115" t="s">
        <v>501</v>
      </c>
      <c r="C3" s="115"/>
      <c r="D3" s="115"/>
      <c r="E3" s="24" t="s">
        <v>502</v>
      </c>
      <c r="F3" s="24"/>
      <c r="G3" s="24"/>
      <c r="H3" s="24"/>
      <c r="I3" s="24"/>
      <c r="J3" s="24"/>
      <c r="K3" s="24"/>
      <c r="L3" s="24"/>
      <c r="M3" s="25"/>
      <c r="N3" s="26"/>
    </row>
    <row r="4" spans="1:17" hidden="1" x14ac:dyDescent="0.3">
      <c r="A4" s="125">
        <v>2</v>
      </c>
      <c r="B4" s="115" t="s">
        <v>503</v>
      </c>
      <c r="C4" s="115"/>
      <c r="D4" s="115"/>
      <c r="E4" s="196" t="s">
        <v>504</v>
      </c>
      <c r="F4" s="196"/>
      <c r="G4" s="196"/>
      <c r="H4" s="196"/>
      <c r="I4" s="24"/>
      <c r="J4" s="24"/>
      <c r="K4" s="24"/>
      <c r="L4" s="24"/>
      <c r="M4" s="25"/>
      <c r="N4" s="26"/>
    </row>
    <row r="5" spans="1:17" hidden="1" x14ac:dyDescent="0.3">
      <c r="A5" s="125">
        <v>3</v>
      </c>
      <c r="B5" s="115" t="s">
        <v>505</v>
      </c>
      <c r="C5" s="115"/>
      <c r="D5" s="115"/>
      <c r="E5" s="196" t="s">
        <v>506</v>
      </c>
      <c r="F5" s="196"/>
      <c r="G5" s="196"/>
      <c r="H5" s="196"/>
      <c r="I5" s="24"/>
      <c r="J5" s="24"/>
    </row>
    <row r="6" spans="1:17" hidden="1" x14ac:dyDescent="0.3">
      <c r="A6" s="202" t="s">
        <v>507</v>
      </c>
      <c r="B6" s="202"/>
      <c r="C6" s="202"/>
      <c r="D6" s="202"/>
      <c r="E6" s="202"/>
      <c r="F6" s="202"/>
      <c r="G6" s="202"/>
      <c r="H6" s="202"/>
      <c r="I6" s="202"/>
      <c r="J6" s="202"/>
      <c r="K6" s="202"/>
      <c r="L6" s="202"/>
      <c r="M6" s="202"/>
      <c r="N6" s="202"/>
      <c r="O6" s="88"/>
    </row>
    <row r="7" spans="1:17" hidden="1" x14ac:dyDescent="0.3">
      <c r="A7" s="200" t="s">
        <v>57</v>
      </c>
      <c r="B7" s="200"/>
      <c r="C7" s="200"/>
      <c r="D7" s="200"/>
      <c r="E7" s="200"/>
      <c r="F7" s="200"/>
      <c r="G7" s="200"/>
      <c r="H7" s="200"/>
      <c r="I7" s="200"/>
      <c r="J7" s="200"/>
      <c r="K7" s="200"/>
      <c r="L7" s="200"/>
      <c r="M7" s="200"/>
      <c r="N7" s="200"/>
      <c r="O7" s="58"/>
    </row>
    <row r="8" spans="1:17" hidden="1" x14ac:dyDescent="0.3">
      <c r="A8" s="125"/>
      <c r="B8" s="115"/>
      <c r="C8" s="115"/>
      <c r="D8" s="115"/>
      <c r="E8" s="114"/>
      <c r="F8" s="114"/>
      <c r="G8" s="114"/>
      <c r="H8" s="114"/>
      <c r="I8" s="24"/>
      <c r="J8" s="24"/>
    </row>
    <row r="9" spans="1:17" ht="18" hidden="1" x14ac:dyDescent="0.3">
      <c r="A9" s="189" t="s">
        <v>497</v>
      </c>
      <c r="B9" s="190"/>
      <c r="C9" s="190"/>
      <c r="D9" s="190"/>
      <c r="E9" s="190"/>
      <c r="F9" s="190"/>
      <c r="G9" s="190"/>
      <c r="H9" s="190"/>
      <c r="I9" s="190"/>
      <c r="J9" s="190"/>
      <c r="K9" s="190"/>
      <c r="L9" s="190"/>
      <c r="M9" s="190"/>
      <c r="N9" s="191"/>
      <c r="O9" s="87"/>
    </row>
    <row r="10" spans="1:17" hidden="1" x14ac:dyDescent="0.3">
      <c r="A10" s="9"/>
      <c r="B10" s="192" t="s">
        <v>498</v>
      </c>
      <c r="C10" s="193"/>
      <c r="D10" s="193"/>
      <c r="E10" s="193"/>
      <c r="F10" s="193"/>
      <c r="G10" s="193"/>
      <c r="H10" s="193"/>
      <c r="I10" s="193"/>
      <c r="J10" s="193"/>
      <c r="K10" s="194"/>
      <c r="L10" s="32"/>
      <c r="M10" s="28"/>
      <c r="N10" s="28"/>
    </row>
    <row r="11" spans="1:17" hidden="1" x14ac:dyDescent="0.3">
      <c r="A11" s="195" t="s">
        <v>508</v>
      </c>
      <c r="B11" s="196"/>
      <c r="C11" s="196"/>
      <c r="D11" s="196"/>
      <c r="E11" s="196"/>
      <c r="F11" s="196"/>
      <c r="G11" s="196"/>
      <c r="H11" s="196"/>
      <c r="I11" s="196"/>
      <c r="J11" s="196"/>
      <c r="K11" s="196"/>
      <c r="L11" s="196"/>
      <c r="M11" s="196"/>
      <c r="N11" s="197"/>
      <c r="O11" s="88"/>
    </row>
    <row r="12" spans="1:17" s="57" customFormat="1" ht="18" x14ac:dyDescent="0.3">
      <c r="A12" s="189" t="s">
        <v>59</v>
      </c>
      <c r="B12" s="190"/>
      <c r="C12" s="190"/>
      <c r="D12" s="190"/>
      <c r="E12" s="190"/>
      <c r="F12" s="190"/>
      <c r="G12" s="190"/>
      <c r="H12" s="190"/>
      <c r="I12" s="190"/>
      <c r="J12" s="190"/>
      <c r="K12" s="190"/>
      <c r="L12" s="190"/>
      <c r="M12" s="190"/>
      <c r="N12" s="191"/>
      <c r="O12" s="87"/>
    </row>
    <row r="13" spans="1:17" ht="86.4" x14ac:dyDescent="0.3">
      <c r="A13" s="30" t="s">
        <v>60</v>
      </c>
      <c r="B13" s="30" t="s">
        <v>61</v>
      </c>
      <c r="C13" s="30" t="s">
        <v>62</v>
      </c>
      <c r="D13" s="30" t="s">
        <v>63</v>
      </c>
      <c r="E13" s="30" t="s">
        <v>64</v>
      </c>
      <c r="F13" s="30" t="s">
        <v>65</v>
      </c>
      <c r="G13" s="30" t="s">
        <v>66</v>
      </c>
      <c r="H13" s="30" t="s">
        <v>478</v>
      </c>
      <c r="I13" s="30" t="s">
        <v>68</v>
      </c>
      <c r="J13" s="30" t="s">
        <v>479</v>
      </c>
      <c r="K13" s="30" t="s">
        <v>509</v>
      </c>
      <c r="L13" s="30" t="s">
        <v>72</v>
      </c>
      <c r="M13" s="30" t="s">
        <v>73</v>
      </c>
      <c r="N13" s="30" t="s">
        <v>74</v>
      </c>
      <c r="O13" s="31" t="s">
        <v>75</v>
      </c>
      <c r="P13" s="31" t="s">
        <v>510</v>
      </c>
      <c r="Q13" s="31" t="s">
        <v>481</v>
      </c>
    </row>
    <row r="14" spans="1:17" ht="43.2" x14ac:dyDescent="0.3">
      <c r="A14" s="96">
        <v>1</v>
      </c>
      <c r="B14" s="49" t="s">
        <v>511</v>
      </c>
      <c r="C14" s="96"/>
      <c r="D14" s="13" t="s">
        <v>82</v>
      </c>
      <c r="E14" s="13"/>
      <c r="F14" s="27" t="s">
        <v>109</v>
      </c>
      <c r="G14" s="49" t="s">
        <v>95</v>
      </c>
      <c r="H14" s="198" t="s">
        <v>82</v>
      </c>
      <c r="I14" s="32" t="s">
        <v>512</v>
      </c>
      <c r="J14" s="96"/>
      <c r="K14" s="198" t="s">
        <v>85</v>
      </c>
      <c r="L14" s="96"/>
      <c r="M14" s="96"/>
      <c r="N14" s="96"/>
      <c r="O14" s="28" t="s">
        <v>86</v>
      </c>
      <c r="P14" s="28" t="s">
        <v>510</v>
      </c>
      <c r="Q14" s="13" t="s">
        <v>82</v>
      </c>
    </row>
    <row r="15" spans="1:17" ht="72" x14ac:dyDescent="0.3">
      <c r="A15" s="96">
        <v>2</v>
      </c>
      <c r="B15" s="49" t="s">
        <v>511</v>
      </c>
      <c r="C15" s="13"/>
      <c r="D15" s="13" t="s">
        <v>82</v>
      </c>
      <c r="E15" s="57"/>
      <c r="F15" s="27" t="s">
        <v>111</v>
      </c>
      <c r="G15" s="28" t="s">
        <v>98</v>
      </c>
      <c r="H15" s="199"/>
      <c r="I15" s="93" t="s">
        <v>513</v>
      </c>
      <c r="J15" s="28"/>
      <c r="K15" s="199"/>
      <c r="L15" s="28"/>
      <c r="M15" s="28"/>
      <c r="N15" s="28"/>
      <c r="O15" s="28" t="s">
        <v>86</v>
      </c>
      <c r="P15" s="28" t="s">
        <v>510</v>
      </c>
      <c r="Q15" s="13" t="s">
        <v>82</v>
      </c>
    </row>
    <row r="16" spans="1:17" ht="72" x14ac:dyDescent="0.3">
      <c r="A16" s="96">
        <v>3</v>
      </c>
      <c r="B16" s="27" t="s">
        <v>108</v>
      </c>
      <c r="C16" s="95"/>
      <c r="D16" s="95"/>
      <c r="E16" s="95"/>
      <c r="F16" s="27" t="s">
        <v>109</v>
      </c>
      <c r="G16" s="99" t="s">
        <v>95</v>
      </c>
      <c r="H16" s="198" t="s">
        <v>85</v>
      </c>
      <c r="I16" s="28" t="s">
        <v>514</v>
      </c>
      <c r="J16" s="28"/>
      <c r="K16" s="198" t="s">
        <v>85</v>
      </c>
      <c r="L16" s="28"/>
      <c r="M16" s="28"/>
      <c r="N16" s="28"/>
      <c r="O16" s="28" t="s">
        <v>86</v>
      </c>
      <c r="P16" s="28" t="s">
        <v>510</v>
      </c>
      <c r="Q16" s="13" t="s">
        <v>82</v>
      </c>
    </row>
    <row r="17" spans="1:17" ht="43.2" x14ac:dyDescent="0.3">
      <c r="A17" s="96">
        <v>4</v>
      </c>
      <c r="B17" s="27" t="s">
        <v>108</v>
      </c>
      <c r="C17" s="95"/>
      <c r="D17" s="95"/>
      <c r="E17" s="95"/>
      <c r="F17" s="27" t="s">
        <v>111</v>
      </c>
      <c r="G17" s="99" t="s">
        <v>112</v>
      </c>
      <c r="H17" s="199"/>
      <c r="I17" s="28" t="s">
        <v>515</v>
      </c>
      <c r="J17" s="28"/>
      <c r="K17" s="199"/>
      <c r="L17" s="28"/>
      <c r="M17" s="28"/>
      <c r="N17" s="28"/>
      <c r="O17" s="28" t="s">
        <v>86</v>
      </c>
      <c r="P17" s="28" t="s">
        <v>510</v>
      </c>
      <c r="Q17" s="13" t="s">
        <v>82</v>
      </c>
    </row>
    <row r="18" spans="1:17" ht="43.2" x14ac:dyDescent="0.3">
      <c r="A18" s="96">
        <v>5</v>
      </c>
      <c r="B18" s="13"/>
      <c r="C18" s="13"/>
      <c r="D18" s="13"/>
      <c r="E18" s="13"/>
      <c r="F18" s="28" t="s">
        <v>516</v>
      </c>
      <c r="G18" s="28" t="s">
        <v>101</v>
      </c>
      <c r="H18" s="13" t="s">
        <v>82</v>
      </c>
      <c r="I18" s="28" t="s">
        <v>517</v>
      </c>
      <c r="J18" s="28"/>
      <c r="K18" s="13" t="s">
        <v>82</v>
      </c>
      <c r="L18" s="28"/>
      <c r="M18" s="28"/>
      <c r="N18" s="28"/>
      <c r="O18" s="28" t="s">
        <v>86</v>
      </c>
      <c r="P18" s="28" t="s">
        <v>510</v>
      </c>
      <c r="Q18" s="13" t="s">
        <v>82</v>
      </c>
    </row>
    <row r="19" spans="1:17" ht="43.2" x14ac:dyDescent="0.3">
      <c r="A19" s="96">
        <v>6</v>
      </c>
      <c r="B19" s="32"/>
      <c r="C19" s="32"/>
      <c r="D19" s="32"/>
      <c r="E19" s="32"/>
      <c r="F19" s="32" t="s">
        <v>80</v>
      </c>
      <c r="G19" s="32" t="s">
        <v>152</v>
      </c>
      <c r="H19" s="13" t="s">
        <v>85</v>
      </c>
      <c r="I19" s="32"/>
      <c r="J19" s="32"/>
      <c r="K19" s="13" t="s">
        <v>82</v>
      </c>
      <c r="L19" s="28"/>
      <c r="M19" s="28"/>
      <c r="N19" s="28"/>
      <c r="O19" s="28" t="s">
        <v>86</v>
      </c>
      <c r="P19" s="28" t="s">
        <v>510</v>
      </c>
      <c r="Q19" s="13" t="s">
        <v>82</v>
      </c>
    </row>
    <row r="20" spans="1:17" ht="72" x14ac:dyDescent="0.3">
      <c r="A20" s="96">
        <v>7</v>
      </c>
      <c r="B20" s="32"/>
      <c r="C20" s="32"/>
      <c r="D20" s="32"/>
      <c r="E20" s="32"/>
      <c r="F20" s="28" t="s">
        <v>88</v>
      </c>
      <c r="G20" s="32" t="s">
        <v>17</v>
      </c>
      <c r="H20" s="13" t="s">
        <v>85</v>
      </c>
      <c r="I20" s="32" t="s">
        <v>518</v>
      </c>
      <c r="J20" s="32"/>
      <c r="K20" s="13" t="s">
        <v>82</v>
      </c>
      <c r="L20" s="28"/>
      <c r="M20" s="28"/>
      <c r="N20" s="28"/>
      <c r="O20" s="28" t="s">
        <v>86</v>
      </c>
      <c r="P20" s="28" t="s">
        <v>510</v>
      </c>
      <c r="Q20" s="13" t="s">
        <v>82</v>
      </c>
    </row>
    <row r="21" spans="1:17" ht="43.2" x14ac:dyDescent="0.3">
      <c r="A21" s="96">
        <v>8</v>
      </c>
      <c r="B21" s="32"/>
      <c r="C21" s="32"/>
      <c r="D21" s="32"/>
      <c r="E21" s="32"/>
      <c r="F21" s="32" t="s">
        <v>118</v>
      </c>
      <c r="G21" s="32" t="s">
        <v>101</v>
      </c>
      <c r="H21" s="13" t="s">
        <v>85</v>
      </c>
      <c r="I21" s="32" t="s">
        <v>519</v>
      </c>
      <c r="J21" s="32"/>
      <c r="K21" s="13" t="s">
        <v>85</v>
      </c>
      <c r="L21" s="13" t="s">
        <v>82</v>
      </c>
      <c r="M21" s="28"/>
      <c r="N21" s="32" t="s">
        <v>520</v>
      </c>
      <c r="O21" s="28" t="s">
        <v>86</v>
      </c>
      <c r="P21" s="28" t="s">
        <v>510</v>
      </c>
      <c r="Q21" s="13" t="s">
        <v>82</v>
      </c>
    </row>
    <row r="22" spans="1:17" ht="43.2" x14ac:dyDescent="0.3">
      <c r="A22" s="96">
        <v>9</v>
      </c>
      <c r="B22" s="32"/>
      <c r="C22" s="32"/>
      <c r="D22" s="32"/>
      <c r="E22" s="32"/>
      <c r="F22" s="32" t="s">
        <v>90</v>
      </c>
      <c r="G22" s="32" t="s">
        <v>17</v>
      </c>
      <c r="H22" s="13" t="s">
        <v>85</v>
      </c>
      <c r="I22" s="32" t="s">
        <v>521</v>
      </c>
      <c r="J22" s="32"/>
      <c r="K22" s="13" t="s">
        <v>82</v>
      </c>
      <c r="L22" s="28"/>
      <c r="M22" s="28"/>
      <c r="N22" s="28"/>
      <c r="O22" s="28" t="s">
        <v>86</v>
      </c>
      <c r="P22" s="28" t="s">
        <v>510</v>
      </c>
      <c r="Q22" s="13" t="s">
        <v>82</v>
      </c>
    </row>
    <row r="23" spans="1:17" ht="100.8" x14ac:dyDescent="0.3">
      <c r="A23" s="96">
        <v>10</v>
      </c>
      <c r="B23" s="49" t="s">
        <v>114</v>
      </c>
      <c r="C23" s="27"/>
      <c r="D23" s="10"/>
      <c r="E23" s="10"/>
      <c r="F23" s="27" t="s">
        <v>109</v>
      </c>
      <c r="G23" s="1" t="s">
        <v>95</v>
      </c>
      <c r="H23" s="175" t="s">
        <v>85</v>
      </c>
      <c r="I23" s="32" t="s">
        <v>115</v>
      </c>
      <c r="J23" s="32"/>
      <c r="K23" s="13" t="s">
        <v>82</v>
      </c>
      <c r="L23" s="28"/>
      <c r="M23" s="28"/>
      <c r="N23" s="28"/>
      <c r="O23" s="28" t="s">
        <v>86</v>
      </c>
      <c r="P23" s="28" t="s">
        <v>510</v>
      </c>
      <c r="Q23" s="13" t="s">
        <v>82</v>
      </c>
    </row>
    <row r="24" spans="1:17" ht="43.2" x14ac:dyDescent="0.3">
      <c r="A24" s="96">
        <v>11</v>
      </c>
      <c r="B24" s="49" t="s">
        <v>114</v>
      </c>
      <c r="C24" s="27"/>
      <c r="D24" s="10"/>
      <c r="E24" s="10"/>
      <c r="F24" s="27" t="s">
        <v>111</v>
      </c>
      <c r="G24" s="99" t="s">
        <v>112</v>
      </c>
      <c r="H24" s="176"/>
      <c r="I24" s="93" t="s">
        <v>117</v>
      </c>
      <c r="J24" s="32"/>
      <c r="K24" s="13" t="s">
        <v>82</v>
      </c>
      <c r="L24" s="28"/>
      <c r="M24" s="28"/>
      <c r="N24" s="28"/>
      <c r="O24" s="28" t="s">
        <v>86</v>
      </c>
      <c r="P24" s="28" t="s">
        <v>510</v>
      </c>
      <c r="Q24" s="13" t="s">
        <v>82</v>
      </c>
    </row>
    <row r="25" spans="1:17" ht="43.2" x14ac:dyDescent="0.3">
      <c r="A25" s="96">
        <v>12</v>
      </c>
      <c r="B25" s="1" t="s">
        <v>93</v>
      </c>
      <c r="C25" s="28"/>
      <c r="D25" s="28"/>
      <c r="E25" s="28"/>
      <c r="F25" s="27" t="s">
        <v>109</v>
      </c>
      <c r="G25" s="1" t="s">
        <v>95</v>
      </c>
      <c r="H25" s="198" t="s">
        <v>85</v>
      </c>
      <c r="I25" s="117" t="s">
        <v>522</v>
      </c>
      <c r="J25" s="28"/>
      <c r="K25" s="198" t="s">
        <v>85</v>
      </c>
      <c r="L25" s="28"/>
      <c r="M25" s="28"/>
      <c r="N25" s="28"/>
      <c r="O25" s="28" t="s">
        <v>86</v>
      </c>
      <c r="P25" s="28" t="s">
        <v>510</v>
      </c>
      <c r="Q25" s="13" t="s">
        <v>82</v>
      </c>
    </row>
    <row r="26" spans="1:17" ht="43.2" x14ac:dyDescent="0.3">
      <c r="A26" s="96">
        <v>13</v>
      </c>
      <c r="B26" s="1" t="s">
        <v>93</v>
      </c>
      <c r="C26" s="28"/>
      <c r="D26" s="28"/>
      <c r="E26" s="28"/>
      <c r="F26" s="27" t="s">
        <v>111</v>
      </c>
      <c r="G26" s="1" t="s">
        <v>98</v>
      </c>
      <c r="H26" s="199"/>
      <c r="I26" s="93" t="s">
        <v>321</v>
      </c>
      <c r="J26" s="28"/>
      <c r="K26" s="203"/>
      <c r="L26" s="28"/>
      <c r="M26" s="28"/>
      <c r="N26" s="28"/>
      <c r="O26" s="28" t="s">
        <v>86</v>
      </c>
      <c r="P26" s="28" t="s">
        <v>510</v>
      </c>
      <c r="Q26" s="13" t="s">
        <v>82</v>
      </c>
    </row>
    <row r="27" spans="1:17" ht="43.2" x14ac:dyDescent="0.3">
      <c r="A27" s="96">
        <v>14</v>
      </c>
      <c r="B27" s="32"/>
      <c r="C27" s="32"/>
      <c r="D27" s="32"/>
      <c r="E27" s="32"/>
      <c r="F27" s="32" t="s">
        <v>122</v>
      </c>
      <c r="G27" s="32" t="s">
        <v>152</v>
      </c>
      <c r="H27" s="13" t="s">
        <v>85</v>
      </c>
      <c r="I27" s="32" t="s">
        <v>523</v>
      </c>
      <c r="J27" s="32"/>
      <c r="K27" s="13" t="s">
        <v>82</v>
      </c>
      <c r="L27" s="28"/>
      <c r="M27" s="28"/>
      <c r="N27" s="28"/>
      <c r="O27" s="28" t="s">
        <v>86</v>
      </c>
      <c r="P27" s="28" t="s">
        <v>510</v>
      </c>
      <c r="Q27" s="13" t="s">
        <v>82</v>
      </c>
    </row>
    <row r="28" spans="1:17" ht="100.8" x14ac:dyDescent="0.3">
      <c r="A28" s="96">
        <v>15</v>
      </c>
      <c r="B28" s="32"/>
      <c r="C28" s="32"/>
      <c r="D28" s="32"/>
      <c r="E28" s="32"/>
      <c r="F28" s="73" t="s">
        <v>124</v>
      </c>
      <c r="G28" s="73" t="s">
        <v>125</v>
      </c>
      <c r="H28" s="113" t="s">
        <v>85</v>
      </c>
      <c r="I28" s="28" t="s">
        <v>126</v>
      </c>
      <c r="J28" s="32"/>
      <c r="K28" s="13" t="s">
        <v>82</v>
      </c>
      <c r="L28" s="28"/>
      <c r="M28" s="28"/>
      <c r="N28" s="28"/>
      <c r="O28" s="28"/>
      <c r="P28" s="28"/>
      <c r="Q28" s="13"/>
    </row>
    <row r="29" spans="1:17" ht="72" x14ac:dyDescent="0.3">
      <c r="A29" s="96">
        <v>16</v>
      </c>
      <c r="B29" s="32"/>
      <c r="C29" s="32"/>
      <c r="D29" s="32"/>
      <c r="E29" s="32"/>
      <c r="F29" s="28" t="s">
        <v>127</v>
      </c>
      <c r="G29" s="73" t="s">
        <v>125</v>
      </c>
      <c r="H29" s="113" t="s">
        <v>85</v>
      </c>
      <c r="I29" s="28" t="s">
        <v>128</v>
      </c>
      <c r="J29" s="32"/>
      <c r="K29" s="13" t="s">
        <v>82</v>
      </c>
      <c r="L29" s="28"/>
      <c r="M29" s="28"/>
      <c r="N29" s="28"/>
      <c r="O29" s="28"/>
      <c r="P29" s="28"/>
      <c r="Q29" s="13"/>
    </row>
    <row r="30" spans="1:17" ht="43.2" x14ac:dyDescent="0.3">
      <c r="A30" s="96">
        <v>17</v>
      </c>
      <c r="B30" s="49"/>
      <c r="C30" s="13"/>
      <c r="D30" s="13"/>
      <c r="E30" s="13"/>
      <c r="F30" s="27" t="s">
        <v>129</v>
      </c>
      <c r="G30" s="32" t="s">
        <v>125</v>
      </c>
      <c r="H30" s="13" t="s">
        <v>85</v>
      </c>
      <c r="J30" s="32"/>
      <c r="K30" s="13" t="s">
        <v>85</v>
      </c>
      <c r="L30" s="28"/>
      <c r="M30" s="28"/>
      <c r="N30" s="28"/>
      <c r="O30" s="28" t="s">
        <v>86</v>
      </c>
      <c r="P30" s="28" t="s">
        <v>510</v>
      </c>
      <c r="Q30" s="13" t="s">
        <v>82</v>
      </c>
    </row>
    <row r="31" spans="1:17" ht="60" x14ac:dyDescent="0.3">
      <c r="A31" s="96">
        <v>18</v>
      </c>
      <c r="B31" s="49"/>
      <c r="C31" s="13"/>
      <c r="D31" s="13"/>
      <c r="E31" s="13"/>
      <c r="F31" s="27" t="s">
        <v>151</v>
      </c>
      <c r="G31" s="32" t="s">
        <v>152</v>
      </c>
      <c r="H31" s="13" t="s">
        <v>85</v>
      </c>
      <c r="I31" s="15" t="s">
        <v>153</v>
      </c>
      <c r="J31" s="15"/>
      <c r="K31" s="13" t="s">
        <v>85</v>
      </c>
      <c r="L31" s="28"/>
      <c r="M31" s="28"/>
      <c r="N31" s="28"/>
      <c r="O31" s="28" t="s">
        <v>86</v>
      </c>
      <c r="P31" s="28" t="s">
        <v>510</v>
      </c>
      <c r="Q31" s="13" t="s">
        <v>82</v>
      </c>
    </row>
    <row r="32" spans="1:17" ht="43.2" x14ac:dyDescent="0.3">
      <c r="A32" s="96">
        <v>19</v>
      </c>
      <c r="B32" s="49"/>
      <c r="C32" s="13"/>
      <c r="D32" s="13"/>
      <c r="E32" s="13"/>
      <c r="F32" s="27" t="s">
        <v>163</v>
      </c>
      <c r="G32" s="32" t="s">
        <v>101</v>
      </c>
      <c r="H32" s="13" t="s">
        <v>85</v>
      </c>
      <c r="I32" s="32"/>
      <c r="J32" s="32"/>
      <c r="K32" s="13" t="s">
        <v>85</v>
      </c>
      <c r="L32" s="28"/>
      <c r="M32" s="28"/>
      <c r="N32" s="27"/>
      <c r="O32" s="28" t="s">
        <v>86</v>
      </c>
      <c r="P32" s="28" t="s">
        <v>510</v>
      </c>
      <c r="Q32" s="13" t="s">
        <v>82</v>
      </c>
    </row>
    <row r="33" spans="1:17" ht="43.2" x14ac:dyDescent="0.3">
      <c r="A33" s="96">
        <v>20</v>
      </c>
      <c r="B33" s="49"/>
      <c r="C33" s="13"/>
      <c r="D33" s="13"/>
      <c r="E33" s="13"/>
      <c r="F33" s="27" t="s">
        <v>194</v>
      </c>
      <c r="G33" s="32" t="s">
        <v>524</v>
      </c>
      <c r="H33" s="13" t="s">
        <v>85</v>
      </c>
      <c r="I33" s="15" t="s">
        <v>195</v>
      </c>
      <c r="J33" s="15"/>
      <c r="K33" s="13" t="s">
        <v>85</v>
      </c>
      <c r="L33" s="28"/>
      <c r="M33" s="28"/>
      <c r="N33" s="27"/>
      <c r="O33" s="28" t="s">
        <v>86</v>
      </c>
      <c r="P33" s="28" t="s">
        <v>510</v>
      </c>
      <c r="Q33" s="13" t="s">
        <v>82</v>
      </c>
    </row>
    <row r="34" spans="1:17" ht="43.2" x14ac:dyDescent="0.3">
      <c r="A34" s="96">
        <v>21</v>
      </c>
      <c r="B34" s="49"/>
      <c r="C34" s="13"/>
      <c r="D34" s="13"/>
      <c r="E34" s="13"/>
      <c r="F34" s="27" t="s">
        <v>202</v>
      </c>
      <c r="G34" s="32" t="s">
        <v>125</v>
      </c>
      <c r="H34" s="13" t="s">
        <v>85</v>
      </c>
      <c r="I34" s="15" t="s">
        <v>203</v>
      </c>
      <c r="J34" s="15"/>
      <c r="K34" s="13" t="s">
        <v>82</v>
      </c>
      <c r="L34" s="28"/>
      <c r="M34" s="28"/>
      <c r="N34" s="27"/>
      <c r="O34" s="28" t="s">
        <v>86</v>
      </c>
      <c r="P34" s="28" t="s">
        <v>510</v>
      </c>
      <c r="Q34" s="13" t="s">
        <v>82</v>
      </c>
    </row>
    <row r="35" spans="1:17" ht="115.2" x14ac:dyDescent="0.3">
      <c r="A35" s="96">
        <v>22</v>
      </c>
      <c r="B35" s="49"/>
      <c r="C35" s="13"/>
      <c r="D35" s="13"/>
      <c r="E35" s="13"/>
      <c r="F35" s="27" t="s">
        <v>204</v>
      </c>
      <c r="G35" s="32" t="s">
        <v>17</v>
      </c>
      <c r="H35" s="13" t="s">
        <v>85</v>
      </c>
      <c r="I35" s="32" t="s">
        <v>205</v>
      </c>
      <c r="J35" s="32"/>
      <c r="K35" s="13" t="s">
        <v>82</v>
      </c>
      <c r="L35" s="28"/>
      <c r="M35" s="28"/>
      <c r="N35" s="27"/>
      <c r="O35" s="28" t="s">
        <v>86</v>
      </c>
      <c r="P35" s="28" t="s">
        <v>510</v>
      </c>
      <c r="Q35" s="13" t="s">
        <v>82</v>
      </c>
    </row>
    <row r="36" spans="1:17" ht="172.8" x14ac:dyDescent="0.3">
      <c r="A36" s="96">
        <v>23</v>
      </c>
      <c r="B36" s="49"/>
      <c r="C36" s="13"/>
      <c r="D36" s="13"/>
      <c r="E36" s="13"/>
      <c r="F36" s="27" t="s">
        <v>206</v>
      </c>
      <c r="G36" s="32" t="s">
        <v>524</v>
      </c>
      <c r="H36" s="13" t="s">
        <v>85</v>
      </c>
      <c r="I36" s="32" t="s">
        <v>207</v>
      </c>
      <c r="J36" s="32"/>
      <c r="K36" s="13" t="s">
        <v>82</v>
      </c>
      <c r="L36" s="28"/>
      <c r="M36" s="28"/>
      <c r="N36" s="27"/>
      <c r="O36" s="28" t="s">
        <v>86</v>
      </c>
      <c r="P36" s="28" t="s">
        <v>510</v>
      </c>
      <c r="Q36" s="13" t="s">
        <v>82</v>
      </c>
    </row>
    <row r="37" spans="1:17" ht="48" x14ac:dyDescent="0.3">
      <c r="A37" s="96">
        <v>24</v>
      </c>
      <c r="B37" s="49"/>
      <c r="C37" s="13"/>
      <c r="D37" s="13"/>
      <c r="E37" s="13"/>
      <c r="F37" s="49" t="s">
        <v>220</v>
      </c>
      <c r="G37" s="32" t="s">
        <v>125</v>
      </c>
      <c r="H37" s="13" t="s">
        <v>85</v>
      </c>
      <c r="I37" s="15" t="s">
        <v>221</v>
      </c>
      <c r="J37" s="15"/>
      <c r="K37" s="13" t="s">
        <v>85</v>
      </c>
      <c r="L37" s="28"/>
      <c r="M37" s="28"/>
      <c r="N37" s="58"/>
      <c r="O37" s="28" t="s">
        <v>86</v>
      </c>
      <c r="P37" s="28" t="s">
        <v>510</v>
      </c>
      <c r="Q37" s="13" t="s">
        <v>82</v>
      </c>
    </row>
    <row r="38" spans="1:17" ht="43.2" x14ac:dyDescent="0.3">
      <c r="A38" s="96">
        <v>25</v>
      </c>
      <c r="B38" s="49"/>
      <c r="C38" s="13"/>
      <c r="D38" s="13"/>
      <c r="E38" s="13"/>
      <c r="F38" s="27" t="s">
        <v>231</v>
      </c>
      <c r="G38" s="32" t="s">
        <v>125</v>
      </c>
      <c r="H38" s="13" t="s">
        <v>85</v>
      </c>
      <c r="I38" s="32"/>
      <c r="J38" s="32"/>
      <c r="K38" s="13" t="s">
        <v>85</v>
      </c>
      <c r="L38" s="28"/>
      <c r="M38" s="28"/>
      <c r="N38" s="27"/>
      <c r="O38" s="28" t="s">
        <v>86</v>
      </c>
      <c r="P38" s="28" t="s">
        <v>510</v>
      </c>
      <c r="Q38" s="13" t="s">
        <v>82</v>
      </c>
    </row>
    <row r="39" spans="1:17" ht="43.2" x14ac:dyDescent="0.3">
      <c r="A39" s="96">
        <v>26</v>
      </c>
      <c r="B39" s="49"/>
      <c r="C39" s="13"/>
      <c r="D39" s="13"/>
      <c r="E39" s="13"/>
      <c r="F39" s="27" t="s">
        <v>232</v>
      </c>
      <c r="G39" s="32" t="s">
        <v>125</v>
      </c>
      <c r="H39" s="13" t="s">
        <v>85</v>
      </c>
      <c r="I39" s="32"/>
      <c r="J39" s="32"/>
      <c r="K39" s="13" t="s">
        <v>85</v>
      </c>
      <c r="L39" s="28"/>
      <c r="M39" s="28"/>
      <c r="N39" s="27"/>
      <c r="O39" s="28" t="s">
        <v>86</v>
      </c>
      <c r="P39" s="28" t="s">
        <v>510</v>
      </c>
      <c r="Q39" s="13" t="s">
        <v>82</v>
      </c>
    </row>
    <row r="40" spans="1:17" ht="43.2" x14ac:dyDescent="0.3">
      <c r="A40" s="96">
        <v>27</v>
      </c>
      <c r="B40" s="49"/>
      <c r="C40" s="13"/>
      <c r="D40" s="13"/>
      <c r="E40" s="13"/>
      <c r="F40" s="27" t="s">
        <v>233</v>
      </c>
      <c r="G40" s="32"/>
      <c r="H40" s="13" t="s">
        <v>85</v>
      </c>
      <c r="I40" s="32"/>
      <c r="J40" s="32"/>
      <c r="K40" s="13" t="s">
        <v>85</v>
      </c>
      <c r="L40" s="28"/>
      <c r="M40" s="28"/>
      <c r="N40" s="27"/>
      <c r="O40" s="28" t="s">
        <v>86</v>
      </c>
      <c r="P40" s="28" t="s">
        <v>510</v>
      </c>
      <c r="Q40" s="13" t="s">
        <v>82</v>
      </c>
    </row>
    <row r="41" spans="1:17" ht="43.2" x14ac:dyDescent="0.3">
      <c r="A41" s="96">
        <v>28</v>
      </c>
      <c r="B41" s="49"/>
      <c r="C41" s="13"/>
      <c r="D41" s="13"/>
      <c r="E41" s="13"/>
      <c r="F41" s="27" t="s">
        <v>234</v>
      </c>
      <c r="G41" s="32"/>
      <c r="H41" s="13" t="s">
        <v>85</v>
      </c>
      <c r="I41" s="32"/>
      <c r="J41" s="32"/>
      <c r="K41" s="13" t="s">
        <v>85</v>
      </c>
      <c r="L41" s="28"/>
      <c r="M41" s="28"/>
      <c r="N41" s="27"/>
      <c r="O41" s="28" t="s">
        <v>86</v>
      </c>
      <c r="P41" s="28" t="s">
        <v>510</v>
      </c>
      <c r="Q41" s="13" t="s">
        <v>82</v>
      </c>
    </row>
    <row r="42" spans="1:17" ht="43.2" x14ac:dyDescent="0.3">
      <c r="A42" s="96">
        <v>29</v>
      </c>
      <c r="B42" s="49"/>
      <c r="C42" s="13"/>
      <c r="D42" s="13"/>
      <c r="E42" s="13"/>
      <c r="F42" s="27" t="s">
        <v>239</v>
      </c>
      <c r="G42" s="32" t="s">
        <v>101</v>
      </c>
      <c r="H42" s="13" t="s">
        <v>85</v>
      </c>
      <c r="I42" s="32"/>
      <c r="J42" s="32"/>
      <c r="K42" s="13" t="s">
        <v>85</v>
      </c>
      <c r="L42" s="28"/>
      <c r="M42" s="28"/>
      <c r="N42" s="27"/>
      <c r="O42" s="28" t="s">
        <v>86</v>
      </c>
      <c r="P42" s="28" t="s">
        <v>510</v>
      </c>
      <c r="Q42" s="13" t="s">
        <v>82</v>
      </c>
    </row>
    <row r="43" spans="1:17" ht="43.2" x14ac:dyDescent="0.3">
      <c r="A43" s="96">
        <v>30</v>
      </c>
      <c r="B43" s="49"/>
      <c r="C43" s="13"/>
      <c r="D43" s="13"/>
      <c r="E43" s="13"/>
      <c r="F43" s="27" t="s">
        <v>240</v>
      </c>
      <c r="G43" s="15" t="s">
        <v>241</v>
      </c>
      <c r="H43" s="13" t="s">
        <v>85</v>
      </c>
      <c r="I43" s="32"/>
      <c r="J43" s="32"/>
      <c r="K43" s="13" t="s">
        <v>82</v>
      </c>
      <c r="L43" s="28"/>
      <c r="M43" s="28"/>
      <c r="N43" s="27"/>
      <c r="O43" s="28" t="s">
        <v>86</v>
      </c>
      <c r="P43" s="28" t="s">
        <v>510</v>
      </c>
      <c r="Q43" s="13" t="s">
        <v>82</v>
      </c>
    </row>
    <row r="44" spans="1:17" ht="43.2" x14ac:dyDescent="0.3">
      <c r="A44" s="96">
        <v>31</v>
      </c>
      <c r="B44" s="49"/>
      <c r="C44" s="13"/>
      <c r="D44" s="13"/>
      <c r="E44" s="13"/>
      <c r="F44" s="27" t="s">
        <v>242</v>
      </c>
      <c r="G44" s="15" t="s">
        <v>241</v>
      </c>
      <c r="H44" s="13" t="s">
        <v>85</v>
      </c>
      <c r="I44" s="32"/>
      <c r="J44" s="32"/>
      <c r="K44" s="13" t="s">
        <v>82</v>
      </c>
      <c r="L44" s="28"/>
      <c r="M44" s="28"/>
      <c r="N44" s="27"/>
      <c r="O44" s="28" t="s">
        <v>86</v>
      </c>
      <c r="P44" s="28" t="s">
        <v>510</v>
      </c>
      <c r="Q44" s="13" t="s">
        <v>82</v>
      </c>
    </row>
    <row r="45" spans="1:17" ht="43.2" x14ac:dyDescent="0.3">
      <c r="A45" s="96">
        <v>32</v>
      </c>
      <c r="B45" s="49"/>
      <c r="C45" s="13"/>
      <c r="D45" s="13"/>
      <c r="E45" s="13"/>
      <c r="F45" s="27" t="s">
        <v>243</v>
      </c>
      <c r="G45" s="32" t="s">
        <v>125</v>
      </c>
      <c r="H45" s="13" t="s">
        <v>85</v>
      </c>
      <c r="I45" s="32"/>
      <c r="J45" s="32"/>
      <c r="K45" s="13" t="s">
        <v>85</v>
      </c>
      <c r="L45" s="28"/>
      <c r="M45" s="28"/>
      <c r="N45" s="27"/>
      <c r="O45" s="28" t="s">
        <v>86</v>
      </c>
      <c r="P45" s="28" t="s">
        <v>510</v>
      </c>
      <c r="Q45" s="13" t="s">
        <v>82</v>
      </c>
    </row>
    <row r="46" spans="1:17" ht="43.2" x14ac:dyDescent="0.3">
      <c r="A46" s="96">
        <v>33</v>
      </c>
      <c r="B46" s="49"/>
      <c r="C46" s="13"/>
      <c r="D46" s="13"/>
      <c r="E46" s="13"/>
      <c r="F46" s="27" t="s">
        <v>244</v>
      </c>
      <c r="G46" s="32" t="s">
        <v>125</v>
      </c>
      <c r="H46" s="13" t="s">
        <v>85</v>
      </c>
      <c r="I46" s="32"/>
      <c r="J46" s="32"/>
      <c r="K46" s="13" t="s">
        <v>82</v>
      </c>
      <c r="L46" s="28"/>
      <c r="M46" s="28"/>
      <c r="N46" s="27"/>
      <c r="O46" s="28" t="s">
        <v>86</v>
      </c>
      <c r="P46" s="28" t="s">
        <v>510</v>
      </c>
      <c r="Q46" s="13" t="s">
        <v>82</v>
      </c>
    </row>
    <row r="47" spans="1:17" ht="43.2" x14ac:dyDescent="0.3">
      <c r="A47" s="96">
        <v>34</v>
      </c>
      <c r="B47" s="49"/>
      <c r="C47" s="13"/>
      <c r="D47" s="13"/>
      <c r="E47" s="13"/>
      <c r="F47" s="27" t="s">
        <v>245</v>
      </c>
      <c r="G47" s="15" t="s">
        <v>246</v>
      </c>
      <c r="H47" s="13" t="s">
        <v>85</v>
      </c>
      <c r="I47" s="32"/>
      <c r="J47" s="32"/>
      <c r="K47" s="13" t="s">
        <v>85</v>
      </c>
      <c r="L47" s="28"/>
      <c r="M47" s="28"/>
      <c r="N47" s="27"/>
      <c r="O47" s="28" t="s">
        <v>86</v>
      </c>
      <c r="P47" s="28" t="s">
        <v>510</v>
      </c>
      <c r="Q47" s="13" t="s">
        <v>82</v>
      </c>
    </row>
    <row r="48" spans="1:17" ht="43.2" x14ac:dyDescent="0.3">
      <c r="A48" s="96">
        <v>35</v>
      </c>
      <c r="B48" s="49"/>
      <c r="C48" s="13"/>
      <c r="D48" s="13"/>
      <c r="E48" s="13"/>
      <c r="F48" s="27" t="s">
        <v>247</v>
      </c>
      <c r="G48" s="15" t="s">
        <v>246</v>
      </c>
      <c r="H48" s="13" t="s">
        <v>85</v>
      </c>
      <c r="I48" s="32"/>
      <c r="J48" s="32"/>
      <c r="K48" s="13" t="s">
        <v>85</v>
      </c>
      <c r="L48" s="28"/>
      <c r="M48" s="28"/>
      <c r="N48" s="27"/>
      <c r="O48" s="28" t="s">
        <v>86</v>
      </c>
      <c r="P48" s="28" t="s">
        <v>510</v>
      </c>
      <c r="Q48" s="13" t="s">
        <v>82</v>
      </c>
    </row>
    <row r="49" spans="1:17" ht="43.2" x14ac:dyDescent="0.3">
      <c r="A49" s="96">
        <v>36</v>
      </c>
      <c r="B49" s="49"/>
      <c r="C49" s="13"/>
      <c r="D49" s="13"/>
      <c r="E49" s="13"/>
      <c r="F49" s="27" t="s">
        <v>252</v>
      </c>
      <c r="G49" s="32" t="s">
        <v>101</v>
      </c>
      <c r="H49" s="13" t="s">
        <v>85</v>
      </c>
      <c r="I49" s="32"/>
      <c r="J49" s="32"/>
      <c r="K49" s="13" t="s">
        <v>85</v>
      </c>
      <c r="L49" s="13" t="s">
        <v>82</v>
      </c>
      <c r="M49" s="28"/>
      <c r="N49" s="15" t="s">
        <v>253</v>
      </c>
      <c r="O49" s="28" t="s">
        <v>86</v>
      </c>
      <c r="P49" s="28" t="s">
        <v>510</v>
      </c>
      <c r="Q49" s="13" t="s">
        <v>82</v>
      </c>
    </row>
    <row r="50" spans="1:17" ht="43.2" x14ac:dyDescent="0.3">
      <c r="A50" s="96">
        <v>37</v>
      </c>
      <c r="B50" s="49"/>
      <c r="C50" s="13"/>
      <c r="D50" s="13"/>
      <c r="E50" s="13"/>
      <c r="F50" s="27" t="s">
        <v>254</v>
      </c>
      <c r="G50" s="32" t="s">
        <v>101</v>
      </c>
      <c r="H50" s="13" t="s">
        <v>85</v>
      </c>
      <c r="I50" s="32"/>
      <c r="J50" s="32"/>
      <c r="K50" s="13" t="s">
        <v>85</v>
      </c>
      <c r="L50" s="28"/>
      <c r="M50" s="28"/>
      <c r="N50" s="27"/>
      <c r="O50" s="28" t="s">
        <v>86</v>
      </c>
      <c r="P50" s="28" t="s">
        <v>510</v>
      </c>
      <c r="Q50" s="13" t="s">
        <v>82</v>
      </c>
    </row>
    <row r="51" spans="1:17" ht="43.2" x14ac:dyDescent="0.3">
      <c r="A51" s="96">
        <v>38</v>
      </c>
      <c r="B51" s="49"/>
      <c r="C51" s="13"/>
      <c r="D51" s="13"/>
      <c r="E51" s="13"/>
      <c r="F51" s="27" t="s">
        <v>284</v>
      </c>
      <c r="G51" s="32" t="s">
        <v>125</v>
      </c>
      <c r="H51" s="13" t="s">
        <v>85</v>
      </c>
      <c r="I51" s="32"/>
      <c r="J51" s="32"/>
      <c r="K51" s="13" t="s">
        <v>85</v>
      </c>
      <c r="L51" s="28"/>
      <c r="M51" s="28"/>
      <c r="N51" s="27"/>
      <c r="O51" s="28" t="s">
        <v>86</v>
      </c>
      <c r="P51" s="28" t="s">
        <v>510</v>
      </c>
      <c r="Q51" s="13" t="s">
        <v>82</v>
      </c>
    </row>
    <row r="52" spans="1:17" ht="86.4" x14ac:dyDescent="0.3">
      <c r="A52" s="96">
        <v>39</v>
      </c>
      <c r="B52" s="32"/>
      <c r="C52" s="32"/>
      <c r="D52" s="32"/>
      <c r="E52" s="32"/>
      <c r="F52" s="32" t="s">
        <v>164</v>
      </c>
      <c r="G52" s="32" t="s">
        <v>125</v>
      </c>
      <c r="H52" s="13" t="s">
        <v>85</v>
      </c>
      <c r="I52" s="32" t="s">
        <v>525</v>
      </c>
      <c r="J52" s="32"/>
      <c r="K52" s="13" t="s">
        <v>82</v>
      </c>
      <c r="L52" s="28"/>
      <c r="M52" s="28"/>
      <c r="N52" s="28"/>
      <c r="O52" s="28" t="s">
        <v>86</v>
      </c>
      <c r="P52" s="28" t="s">
        <v>510</v>
      </c>
      <c r="Q52" s="13" t="s">
        <v>82</v>
      </c>
    </row>
    <row r="53" spans="1:17" ht="43.2" x14ac:dyDescent="0.3">
      <c r="A53" s="96">
        <v>40</v>
      </c>
      <c r="B53" s="32"/>
      <c r="C53" s="32"/>
      <c r="D53" s="32"/>
      <c r="E53" s="32"/>
      <c r="F53" s="32" t="s">
        <v>100</v>
      </c>
      <c r="G53" s="32" t="s">
        <v>101</v>
      </c>
      <c r="H53" s="13" t="s">
        <v>85</v>
      </c>
      <c r="I53" s="32" t="s">
        <v>526</v>
      </c>
      <c r="J53" s="32"/>
      <c r="K53" s="13" t="s">
        <v>85</v>
      </c>
      <c r="L53" s="28"/>
      <c r="M53" s="28"/>
      <c r="N53" s="28"/>
      <c r="O53" s="28" t="s">
        <v>86</v>
      </c>
      <c r="P53" s="28" t="s">
        <v>510</v>
      </c>
      <c r="Q53" s="13" t="s">
        <v>82</v>
      </c>
    </row>
    <row r="54" spans="1:17" ht="43.2" x14ac:dyDescent="0.3">
      <c r="A54" s="96">
        <v>41</v>
      </c>
      <c r="B54" s="32"/>
      <c r="C54" s="32"/>
      <c r="D54" s="32"/>
      <c r="E54" s="32"/>
      <c r="F54" s="32" t="s">
        <v>174</v>
      </c>
      <c r="G54" s="32" t="s">
        <v>101</v>
      </c>
      <c r="H54" s="13" t="s">
        <v>85</v>
      </c>
      <c r="I54" s="32" t="s">
        <v>527</v>
      </c>
      <c r="J54" s="32"/>
      <c r="K54" s="13" t="s">
        <v>82</v>
      </c>
      <c r="L54" s="28"/>
      <c r="M54" s="28"/>
      <c r="N54" s="28"/>
      <c r="O54" s="28" t="s">
        <v>86</v>
      </c>
      <c r="P54" s="28" t="s">
        <v>510</v>
      </c>
      <c r="Q54" s="13" t="s">
        <v>82</v>
      </c>
    </row>
    <row r="55" spans="1:17" ht="43.2" x14ac:dyDescent="0.3">
      <c r="A55" s="96">
        <v>42</v>
      </c>
      <c r="B55" s="32"/>
      <c r="C55" s="32"/>
      <c r="D55" s="32"/>
      <c r="E55" s="32"/>
      <c r="F55" s="32" t="s">
        <v>104</v>
      </c>
      <c r="G55" s="32" t="s">
        <v>101</v>
      </c>
      <c r="H55" s="13" t="s">
        <v>85</v>
      </c>
      <c r="I55" s="32" t="s">
        <v>528</v>
      </c>
      <c r="J55" s="32"/>
      <c r="K55" s="13" t="s">
        <v>82</v>
      </c>
      <c r="L55" s="13" t="s">
        <v>82</v>
      </c>
      <c r="M55" s="28"/>
      <c r="N55" s="32" t="s">
        <v>529</v>
      </c>
      <c r="O55" s="28" t="s">
        <v>86</v>
      </c>
      <c r="P55" s="28" t="s">
        <v>510</v>
      </c>
      <c r="Q55" s="13" t="s">
        <v>82</v>
      </c>
    </row>
    <row r="56" spans="1:17" ht="43.2" x14ac:dyDescent="0.3">
      <c r="A56" s="96">
        <v>43</v>
      </c>
      <c r="B56" s="32"/>
      <c r="C56" s="32"/>
      <c r="D56" s="32"/>
      <c r="E56" s="32"/>
      <c r="F56" s="32" t="s">
        <v>131</v>
      </c>
      <c r="G56" s="32" t="s">
        <v>101</v>
      </c>
      <c r="H56" s="13" t="s">
        <v>85</v>
      </c>
      <c r="I56" s="32" t="s">
        <v>530</v>
      </c>
      <c r="J56" s="32"/>
      <c r="K56" s="13" t="s">
        <v>82</v>
      </c>
      <c r="L56" s="13" t="s">
        <v>82</v>
      </c>
      <c r="M56" s="28"/>
      <c r="N56" s="32" t="s">
        <v>367</v>
      </c>
      <c r="O56" s="28" t="s">
        <v>86</v>
      </c>
      <c r="P56" s="28" t="s">
        <v>510</v>
      </c>
      <c r="Q56" s="13" t="s">
        <v>82</v>
      </c>
    </row>
    <row r="57" spans="1:17" ht="43.2" x14ac:dyDescent="0.3">
      <c r="A57" s="96">
        <v>44</v>
      </c>
      <c r="B57" s="32"/>
      <c r="C57" s="32"/>
      <c r="D57" s="32"/>
      <c r="E57" s="32"/>
      <c r="F57" s="32" t="s">
        <v>136</v>
      </c>
      <c r="G57" s="32" t="s">
        <v>17</v>
      </c>
      <c r="H57" s="13" t="s">
        <v>85</v>
      </c>
      <c r="I57" s="32"/>
      <c r="J57" s="32"/>
      <c r="K57" s="13" t="s">
        <v>82</v>
      </c>
      <c r="L57" s="28"/>
      <c r="M57" s="28"/>
      <c r="N57" s="32"/>
      <c r="O57" s="28" t="s">
        <v>86</v>
      </c>
      <c r="P57" s="28" t="s">
        <v>510</v>
      </c>
      <c r="Q57" s="13" t="s">
        <v>82</v>
      </c>
    </row>
    <row r="58" spans="1:17" ht="43.2" x14ac:dyDescent="0.3">
      <c r="A58" s="96">
        <v>45</v>
      </c>
      <c r="B58" s="32"/>
      <c r="C58" s="32"/>
      <c r="D58" s="32"/>
      <c r="E58" s="32"/>
      <c r="F58" s="32" t="s">
        <v>138</v>
      </c>
      <c r="G58" s="32" t="s">
        <v>17</v>
      </c>
      <c r="H58" s="13" t="s">
        <v>85</v>
      </c>
      <c r="I58" s="32"/>
      <c r="J58" s="32"/>
      <c r="K58" s="13" t="s">
        <v>82</v>
      </c>
      <c r="L58" s="28"/>
      <c r="M58" s="28"/>
      <c r="N58" s="32"/>
      <c r="O58" s="28" t="s">
        <v>86</v>
      </c>
      <c r="P58" s="28" t="s">
        <v>510</v>
      </c>
      <c r="Q58" s="13" t="s">
        <v>82</v>
      </c>
    </row>
    <row r="59" spans="1:17" ht="43.2" x14ac:dyDescent="0.3">
      <c r="A59" s="96">
        <v>46</v>
      </c>
      <c r="B59" s="32"/>
      <c r="C59" s="32"/>
      <c r="D59" s="32"/>
      <c r="E59" s="32"/>
      <c r="F59" s="32" t="s">
        <v>141</v>
      </c>
      <c r="G59" s="32" t="s">
        <v>101</v>
      </c>
      <c r="H59" s="13" t="s">
        <v>85</v>
      </c>
      <c r="I59" s="32" t="s">
        <v>531</v>
      </c>
      <c r="J59" s="32"/>
      <c r="K59" s="13" t="s">
        <v>82</v>
      </c>
      <c r="L59" s="13" t="s">
        <v>82</v>
      </c>
      <c r="M59" s="28"/>
      <c r="N59" s="32" t="s">
        <v>374</v>
      </c>
      <c r="O59" s="28" t="s">
        <v>86</v>
      </c>
      <c r="P59" s="28" t="s">
        <v>510</v>
      </c>
      <c r="Q59" s="13" t="s">
        <v>82</v>
      </c>
    </row>
    <row r="60" spans="1:17" ht="43.2" x14ac:dyDescent="0.3">
      <c r="A60" s="96">
        <v>47</v>
      </c>
      <c r="B60" s="32"/>
      <c r="C60" s="32"/>
      <c r="D60" s="32"/>
      <c r="E60" s="32"/>
      <c r="F60" s="32" t="s">
        <v>144</v>
      </c>
      <c r="G60" s="32" t="s">
        <v>101</v>
      </c>
      <c r="H60" s="13" t="s">
        <v>85</v>
      </c>
      <c r="I60" s="32" t="s">
        <v>532</v>
      </c>
      <c r="J60" s="32"/>
      <c r="K60" s="13" t="s">
        <v>82</v>
      </c>
      <c r="L60" s="13" t="s">
        <v>82</v>
      </c>
      <c r="M60" s="28"/>
      <c r="N60" s="32" t="s">
        <v>380</v>
      </c>
      <c r="O60" s="28" t="s">
        <v>86</v>
      </c>
      <c r="P60" s="28" t="s">
        <v>510</v>
      </c>
      <c r="Q60" s="13" t="s">
        <v>82</v>
      </c>
    </row>
    <row r="61" spans="1:17" ht="43.2" x14ac:dyDescent="0.3">
      <c r="A61" s="96">
        <v>48</v>
      </c>
      <c r="B61" s="32"/>
      <c r="C61" s="32"/>
      <c r="D61" s="32"/>
      <c r="E61" s="32"/>
      <c r="F61" s="32" t="s">
        <v>147</v>
      </c>
      <c r="G61" s="32"/>
      <c r="H61" s="13" t="s">
        <v>85</v>
      </c>
      <c r="I61" s="32"/>
      <c r="J61" s="32"/>
      <c r="K61" s="13" t="s">
        <v>82</v>
      </c>
      <c r="L61" s="28"/>
      <c r="M61" s="28"/>
      <c r="N61" s="28"/>
      <c r="O61" s="28" t="s">
        <v>86</v>
      </c>
      <c r="P61" s="28" t="s">
        <v>510</v>
      </c>
      <c r="Q61" s="13" t="s">
        <v>82</v>
      </c>
    </row>
    <row r="62" spans="1:17" ht="43.2" x14ac:dyDescent="0.3">
      <c r="A62" s="96">
        <v>49</v>
      </c>
      <c r="B62" s="32"/>
      <c r="C62" s="32"/>
      <c r="D62" s="32"/>
      <c r="E62" s="32"/>
      <c r="F62" s="32" t="s">
        <v>154</v>
      </c>
      <c r="G62" s="32"/>
      <c r="H62" s="13" t="s">
        <v>85</v>
      </c>
      <c r="I62" s="32"/>
      <c r="J62" s="32"/>
      <c r="K62" s="13" t="s">
        <v>82</v>
      </c>
      <c r="L62" s="28"/>
      <c r="M62" s="28"/>
      <c r="N62" s="28"/>
      <c r="O62" s="28" t="s">
        <v>86</v>
      </c>
      <c r="P62" s="28" t="s">
        <v>510</v>
      </c>
      <c r="Q62" s="13" t="s">
        <v>82</v>
      </c>
    </row>
    <row r="63" spans="1:17" ht="43.2" x14ac:dyDescent="0.3">
      <c r="A63" s="96">
        <v>50</v>
      </c>
      <c r="B63" s="32"/>
      <c r="C63" s="32"/>
      <c r="D63" s="32"/>
      <c r="E63" s="32"/>
      <c r="F63" s="32" t="s">
        <v>156</v>
      </c>
      <c r="G63" s="32" t="s">
        <v>17</v>
      </c>
      <c r="H63" s="13" t="s">
        <v>85</v>
      </c>
      <c r="I63" s="32" t="s">
        <v>533</v>
      </c>
      <c r="J63" s="32"/>
      <c r="K63" s="13" t="s">
        <v>82</v>
      </c>
      <c r="L63" s="28"/>
      <c r="M63" s="28"/>
      <c r="N63" s="28"/>
      <c r="O63" s="28" t="s">
        <v>86</v>
      </c>
      <c r="P63" s="28" t="s">
        <v>510</v>
      </c>
      <c r="Q63" s="13" t="s">
        <v>82</v>
      </c>
    </row>
    <row r="64" spans="1:17" ht="43.2" x14ac:dyDescent="0.3">
      <c r="A64" s="96">
        <v>51</v>
      </c>
      <c r="B64" s="32"/>
      <c r="C64" s="32"/>
      <c r="D64" s="32"/>
      <c r="E64" s="32"/>
      <c r="F64" s="32" t="s">
        <v>159</v>
      </c>
      <c r="G64" s="32" t="s">
        <v>101</v>
      </c>
      <c r="H64" s="13" t="s">
        <v>85</v>
      </c>
      <c r="I64" s="32" t="s">
        <v>534</v>
      </c>
      <c r="J64" s="32"/>
      <c r="K64" s="13" t="s">
        <v>82</v>
      </c>
      <c r="L64" s="13" t="s">
        <v>82</v>
      </c>
      <c r="M64" s="28"/>
      <c r="N64" s="32" t="s">
        <v>306</v>
      </c>
      <c r="O64" s="28" t="s">
        <v>86</v>
      </c>
      <c r="P64" s="28" t="s">
        <v>510</v>
      </c>
      <c r="Q64" s="13" t="s">
        <v>82</v>
      </c>
    </row>
    <row r="65" spans="1:17" ht="62.4" x14ac:dyDescent="0.3">
      <c r="A65" s="96">
        <v>52</v>
      </c>
      <c r="B65" s="32"/>
      <c r="C65" s="32"/>
      <c r="D65" s="32"/>
      <c r="E65" s="32"/>
      <c r="F65" s="32" t="s">
        <v>167</v>
      </c>
      <c r="G65" s="32" t="s">
        <v>17</v>
      </c>
      <c r="H65" s="13" t="s">
        <v>85</v>
      </c>
      <c r="I65" s="32" t="s">
        <v>535</v>
      </c>
      <c r="J65" s="32"/>
      <c r="K65" s="13" t="s">
        <v>82</v>
      </c>
      <c r="L65" s="28"/>
      <c r="M65" s="28"/>
      <c r="N65" s="28"/>
      <c r="O65" s="28" t="s">
        <v>86</v>
      </c>
      <c r="P65" s="28" t="s">
        <v>510</v>
      </c>
      <c r="Q65" s="13" t="s">
        <v>82</v>
      </c>
    </row>
    <row r="66" spans="1:17" ht="43.2" x14ac:dyDescent="0.3">
      <c r="A66" s="96">
        <v>53</v>
      </c>
      <c r="B66" s="32"/>
      <c r="C66" s="32"/>
      <c r="D66" s="32"/>
      <c r="E66" s="32"/>
      <c r="F66" s="32" t="s">
        <v>170</v>
      </c>
      <c r="G66" s="32" t="s">
        <v>125</v>
      </c>
      <c r="H66" s="13" t="s">
        <v>85</v>
      </c>
      <c r="I66" s="32"/>
      <c r="J66" s="32"/>
      <c r="K66" s="13" t="s">
        <v>82</v>
      </c>
      <c r="L66" s="28"/>
      <c r="M66" s="28"/>
      <c r="N66" s="28"/>
      <c r="O66" s="28" t="s">
        <v>86</v>
      </c>
      <c r="P66" s="28" t="s">
        <v>510</v>
      </c>
      <c r="Q66" s="13" t="s">
        <v>82</v>
      </c>
    </row>
    <row r="67" spans="1:17" ht="43.2" x14ac:dyDescent="0.3">
      <c r="A67" s="96">
        <v>54</v>
      </c>
      <c r="B67" s="32"/>
      <c r="C67" s="32"/>
      <c r="D67" s="32"/>
      <c r="E67" s="32"/>
      <c r="F67" s="32" t="s">
        <v>172</v>
      </c>
      <c r="G67" s="32" t="s">
        <v>125</v>
      </c>
      <c r="H67" s="13" t="s">
        <v>85</v>
      </c>
      <c r="I67" s="32"/>
      <c r="J67" s="32"/>
      <c r="K67" s="13" t="s">
        <v>82</v>
      </c>
      <c r="L67" s="28"/>
      <c r="M67" s="28"/>
      <c r="N67" s="28"/>
      <c r="O67" s="28" t="s">
        <v>86</v>
      </c>
      <c r="P67" s="28" t="s">
        <v>510</v>
      </c>
      <c r="Q67" s="13" t="s">
        <v>82</v>
      </c>
    </row>
    <row r="68" spans="1:17" ht="43.2" x14ac:dyDescent="0.3">
      <c r="A68" s="96">
        <v>55</v>
      </c>
      <c r="B68" s="32"/>
      <c r="C68" s="32"/>
      <c r="D68" s="32"/>
      <c r="E68" s="32"/>
      <c r="F68" s="32" t="s">
        <v>177</v>
      </c>
      <c r="G68" s="32" t="s">
        <v>101</v>
      </c>
      <c r="H68" s="13" t="s">
        <v>85</v>
      </c>
      <c r="I68" s="32" t="s">
        <v>536</v>
      </c>
      <c r="J68" s="32"/>
      <c r="K68" s="13" t="s">
        <v>82</v>
      </c>
      <c r="L68" s="13" t="s">
        <v>82</v>
      </c>
      <c r="M68" s="28"/>
      <c r="N68" s="32" t="s">
        <v>306</v>
      </c>
      <c r="O68" s="28" t="s">
        <v>86</v>
      </c>
      <c r="P68" s="28" t="s">
        <v>510</v>
      </c>
      <c r="Q68" s="13" t="s">
        <v>82</v>
      </c>
    </row>
    <row r="69" spans="1:17" ht="43.2" x14ac:dyDescent="0.3">
      <c r="A69" s="96">
        <v>56</v>
      </c>
      <c r="B69" s="32"/>
      <c r="C69" s="32"/>
      <c r="D69" s="32"/>
      <c r="E69" s="32"/>
      <c r="F69" s="32" t="s">
        <v>180</v>
      </c>
      <c r="G69" s="32" t="s">
        <v>17</v>
      </c>
      <c r="H69" s="13" t="s">
        <v>85</v>
      </c>
      <c r="I69" s="32" t="s">
        <v>537</v>
      </c>
      <c r="J69" s="32"/>
      <c r="K69" s="13" t="s">
        <v>82</v>
      </c>
      <c r="L69" s="28"/>
      <c r="M69" s="28"/>
      <c r="N69" s="28"/>
      <c r="O69" s="28" t="s">
        <v>86</v>
      </c>
      <c r="P69" s="28" t="s">
        <v>510</v>
      </c>
      <c r="Q69" s="13" t="s">
        <v>82</v>
      </c>
    </row>
    <row r="70" spans="1:17" ht="43.2" x14ac:dyDescent="0.3">
      <c r="A70" s="96">
        <v>57</v>
      </c>
      <c r="B70" s="32"/>
      <c r="C70" s="32"/>
      <c r="D70" s="32"/>
      <c r="E70" s="32"/>
      <c r="F70" s="32" t="s">
        <v>183</v>
      </c>
      <c r="G70" s="32" t="s">
        <v>101</v>
      </c>
      <c r="H70" s="13" t="s">
        <v>85</v>
      </c>
      <c r="I70" s="32" t="s">
        <v>538</v>
      </c>
      <c r="J70" s="32"/>
      <c r="K70" s="13" t="s">
        <v>82</v>
      </c>
      <c r="L70" s="13" t="s">
        <v>82</v>
      </c>
      <c r="M70" s="28"/>
      <c r="N70" s="32" t="s">
        <v>463</v>
      </c>
      <c r="O70" s="28" t="s">
        <v>86</v>
      </c>
      <c r="P70" s="28" t="s">
        <v>510</v>
      </c>
      <c r="Q70" s="13" t="s">
        <v>82</v>
      </c>
    </row>
    <row r="71" spans="1:17" ht="43.2" x14ac:dyDescent="0.3">
      <c r="A71" s="96">
        <v>58</v>
      </c>
      <c r="B71" s="32"/>
      <c r="C71" s="32"/>
      <c r="D71" s="32"/>
      <c r="E71" s="32"/>
      <c r="F71" s="32" t="s">
        <v>186</v>
      </c>
      <c r="G71" s="32" t="s">
        <v>152</v>
      </c>
      <c r="H71" s="13" t="s">
        <v>85</v>
      </c>
      <c r="I71" s="32"/>
      <c r="J71" s="32"/>
      <c r="K71" s="13" t="s">
        <v>82</v>
      </c>
      <c r="L71" s="28"/>
      <c r="M71" s="28"/>
      <c r="N71" s="28"/>
      <c r="O71" s="28" t="s">
        <v>86</v>
      </c>
      <c r="P71" s="28" t="s">
        <v>510</v>
      </c>
      <c r="Q71" s="13" t="s">
        <v>82</v>
      </c>
    </row>
    <row r="72" spans="1:17" ht="43.2" x14ac:dyDescent="0.3">
      <c r="A72" s="96">
        <v>59</v>
      </c>
      <c r="B72" s="32"/>
      <c r="C72" s="32"/>
      <c r="D72" s="32"/>
      <c r="E72" s="32"/>
      <c r="F72" s="32" t="s">
        <v>188</v>
      </c>
      <c r="G72" s="32" t="s">
        <v>101</v>
      </c>
      <c r="H72" s="13" t="s">
        <v>85</v>
      </c>
      <c r="I72" s="32"/>
      <c r="J72" s="32"/>
      <c r="K72" s="13" t="s">
        <v>82</v>
      </c>
      <c r="L72" s="28"/>
      <c r="M72" s="28"/>
      <c r="N72" s="28"/>
      <c r="O72" s="28" t="s">
        <v>86</v>
      </c>
      <c r="P72" s="28" t="s">
        <v>510</v>
      </c>
      <c r="Q72" s="13" t="s">
        <v>82</v>
      </c>
    </row>
    <row r="73" spans="1:17" ht="302.39999999999998" x14ac:dyDescent="0.3">
      <c r="A73" s="96">
        <v>60</v>
      </c>
      <c r="B73" s="32"/>
      <c r="C73" s="32"/>
      <c r="D73" s="32"/>
      <c r="E73" s="32"/>
      <c r="F73" s="32" t="s">
        <v>190</v>
      </c>
      <c r="G73" s="32" t="s">
        <v>125</v>
      </c>
      <c r="H73" s="13" t="s">
        <v>85</v>
      </c>
      <c r="I73" s="32" t="s">
        <v>539</v>
      </c>
      <c r="J73" s="32"/>
      <c r="K73" s="13" t="s">
        <v>82</v>
      </c>
      <c r="L73" s="28"/>
      <c r="M73" s="28"/>
      <c r="N73" s="28"/>
      <c r="O73" s="28" t="s">
        <v>86</v>
      </c>
      <c r="P73" s="28" t="s">
        <v>510</v>
      </c>
      <c r="Q73" s="13" t="s">
        <v>82</v>
      </c>
    </row>
    <row r="74" spans="1:17" ht="43.2" x14ac:dyDescent="0.3">
      <c r="A74" s="96">
        <v>61</v>
      </c>
      <c r="B74" s="32"/>
      <c r="C74" s="32"/>
      <c r="D74" s="32"/>
      <c r="E74" s="32"/>
      <c r="F74" s="32" t="s">
        <v>196</v>
      </c>
      <c r="G74" s="32" t="s">
        <v>125</v>
      </c>
      <c r="H74" s="13" t="s">
        <v>85</v>
      </c>
      <c r="I74" s="32"/>
      <c r="J74" s="32"/>
      <c r="K74" s="13" t="s">
        <v>82</v>
      </c>
      <c r="L74" s="28"/>
      <c r="M74" s="28"/>
      <c r="N74" s="28"/>
      <c r="O74" s="28" t="s">
        <v>86</v>
      </c>
      <c r="P74" s="28" t="s">
        <v>510</v>
      </c>
      <c r="Q74" s="13" t="s">
        <v>82</v>
      </c>
    </row>
    <row r="75" spans="1:17" ht="43.2" x14ac:dyDescent="0.3">
      <c r="A75" s="96">
        <v>62</v>
      </c>
      <c r="B75" s="32"/>
      <c r="C75" s="32"/>
      <c r="D75" s="32"/>
      <c r="E75" s="32"/>
      <c r="F75" s="32" t="s">
        <v>198</v>
      </c>
      <c r="G75" s="32" t="s">
        <v>101</v>
      </c>
      <c r="H75" s="13" t="s">
        <v>85</v>
      </c>
      <c r="I75" s="32" t="s">
        <v>540</v>
      </c>
      <c r="J75" s="32"/>
      <c r="K75" s="13" t="s">
        <v>82</v>
      </c>
      <c r="L75" s="13" t="s">
        <v>82</v>
      </c>
      <c r="M75" s="28"/>
      <c r="N75" s="32" t="s">
        <v>541</v>
      </c>
      <c r="O75" s="28" t="s">
        <v>86</v>
      </c>
      <c r="P75" s="28" t="s">
        <v>510</v>
      </c>
      <c r="Q75" s="13" t="s">
        <v>82</v>
      </c>
    </row>
    <row r="76" spans="1:17" ht="43.2" x14ac:dyDescent="0.3">
      <c r="A76" s="96">
        <v>63</v>
      </c>
      <c r="B76" s="32"/>
      <c r="C76" s="32"/>
      <c r="D76" s="32"/>
      <c r="E76" s="32"/>
      <c r="F76" s="32" t="s">
        <v>209</v>
      </c>
      <c r="G76" s="32" t="s">
        <v>210</v>
      </c>
      <c r="H76" s="13" t="s">
        <v>85</v>
      </c>
      <c r="I76" s="32"/>
      <c r="J76" s="32"/>
      <c r="K76" s="13" t="s">
        <v>82</v>
      </c>
      <c r="L76" s="28"/>
      <c r="M76" s="28"/>
      <c r="N76" s="32"/>
      <c r="O76" s="28" t="s">
        <v>86</v>
      </c>
      <c r="P76" s="28" t="s">
        <v>510</v>
      </c>
      <c r="Q76" s="13" t="s">
        <v>82</v>
      </c>
    </row>
    <row r="77" spans="1:17" ht="43.2" x14ac:dyDescent="0.3">
      <c r="A77" s="96">
        <v>64</v>
      </c>
      <c r="B77" s="32"/>
      <c r="C77" s="32"/>
      <c r="D77" s="32"/>
      <c r="E77" s="32"/>
      <c r="F77" s="32" t="s">
        <v>211</v>
      </c>
      <c r="G77" s="32" t="s">
        <v>210</v>
      </c>
      <c r="H77" s="13" t="s">
        <v>85</v>
      </c>
      <c r="I77" s="32"/>
      <c r="J77" s="32"/>
      <c r="K77" s="13" t="s">
        <v>82</v>
      </c>
      <c r="L77" s="13" t="s">
        <v>82</v>
      </c>
      <c r="M77" s="28"/>
      <c r="N77" s="32" t="s">
        <v>212</v>
      </c>
      <c r="O77" s="28" t="s">
        <v>86</v>
      </c>
      <c r="P77" s="28" t="s">
        <v>510</v>
      </c>
      <c r="Q77" s="13" t="s">
        <v>82</v>
      </c>
    </row>
    <row r="78" spans="1:17" ht="43.2" x14ac:dyDescent="0.3">
      <c r="A78" s="96">
        <v>65</v>
      </c>
      <c r="B78" s="32"/>
      <c r="C78" s="32"/>
      <c r="D78" s="32"/>
      <c r="E78" s="32"/>
      <c r="F78" s="32" t="s">
        <v>213</v>
      </c>
      <c r="G78" s="32" t="s">
        <v>214</v>
      </c>
      <c r="H78" s="13" t="s">
        <v>85</v>
      </c>
      <c r="I78" s="32"/>
      <c r="J78" s="32"/>
      <c r="K78" s="13" t="s">
        <v>82</v>
      </c>
      <c r="L78" s="28"/>
      <c r="M78" s="28"/>
      <c r="N78" s="32"/>
      <c r="O78" s="28" t="s">
        <v>86</v>
      </c>
      <c r="P78" s="28" t="s">
        <v>510</v>
      </c>
      <c r="Q78" s="13" t="s">
        <v>82</v>
      </c>
    </row>
    <row r="79" spans="1:17" ht="43.2" x14ac:dyDescent="0.3">
      <c r="A79" s="96">
        <v>66</v>
      </c>
      <c r="B79" s="32"/>
      <c r="C79" s="32"/>
      <c r="D79" s="32"/>
      <c r="E79" s="32"/>
      <c r="F79" s="32" t="s">
        <v>215</v>
      </c>
      <c r="G79" s="32" t="s">
        <v>214</v>
      </c>
      <c r="H79" s="13" t="s">
        <v>85</v>
      </c>
      <c r="I79" s="32"/>
      <c r="J79" s="32"/>
      <c r="K79" s="13" t="s">
        <v>82</v>
      </c>
      <c r="L79" s="13" t="s">
        <v>82</v>
      </c>
      <c r="M79" s="28"/>
      <c r="N79" s="32" t="s">
        <v>216</v>
      </c>
      <c r="O79" s="28" t="s">
        <v>86</v>
      </c>
      <c r="P79" s="28" t="s">
        <v>510</v>
      </c>
      <c r="Q79" s="13" t="s">
        <v>82</v>
      </c>
    </row>
    <row r="80" spans="1:17" ht="43.2" x14ac:dyDescent="0.3">
      <c r="A80" s="96">
        <v>67</v>
      </c>
      <c r="B80" s="32"/>
      <c r="C80" s="32"/>
      <c r="D80" s="32"/>
      <c r="E80" s="32"/>
      <c r="F80" s="32" t="s">
        <v>217</v>
      </c>
      <c r="G80" s="32"/>
      <c r="H80" s="13" t="s">
        <v>85</v>
      </c>
      <c r="I80" s="32"/>
      <c r="J80" s="32"/>
      <c r="K80" s="13" t="s">
        <v>82</v>
      </c>
      <c r="L80" s="13" t="s">
        <v>82</v>
      </c>
      <c r="M80" s="28"/>
      <c r="N80" s="32" t="s">
        <v>219</v>
      </c>
      <c r="O80" s="28" t="s">
        <v>86</v>
      </c>
      <c r="P80" s="28" t="s">
        <v>510</v>
      </c>
      <c r="Q80" s="13" t="s">
        <v>82</v>
      </c>
    </row>
    <row r="81" spans="1:18" ht="43.2" x14ac:dyDescent="0.3">
      <c r="A81" s="96">
        <v>68</v>
      </c>
      <c r="B81" s="32"/>
      <c r="C81" s="32"/>
      <c r="D81" s="32"/>
      <c r="E81" s="32"/>
      <c r="F81" s="32" t="s">
        <v>222</v>
      </c>
      <c r="G81" s="32"/>
      <c r="H81" s="13" t="s">
        <v>85</v>
      </c>
      <c r="I81" s="32"/>
      <c r="J81" s="32"/>
      <c r="K81" s="13" t="s">
        <v>82</v>
      </c>
      <c r="L81" s="28"/>
      <c r="M81" s="28"/>
      <c r="N81" s="28"/>
      <c r="O81" s="28" t="s">
        <v>86</v>
      </c>
      <c r="P81" s="28" t="s">
        <v>510</v>
      </c>
      <c r="Q81" s="13" t="s">
        <v>82</v>
      </c>
    </row>
    <row r="82" spans="1:18" ht="43.2" x14ac:dyDescent="0.3">
      <c r="A82" s="96">
        <v>69</v>
      </c>
      <c r="B82" s="32"/>
      <c r="C82" s="32"/>
      <c r="D82" s="32"/>
      <c r="E82" s="32"/>
      <c r="F82" s="32" t="s">
        <v>223</v>
      </c>
      <c r="G82" s="32"/>
      <c r="H82" s="13" t="s">
        <v>85</v>
      </c>
      <c r="I82" s="32"/>
      <c r="J82" s="32"/>
      <c r="K82" s="13" t="s">
        <v>82</v>
      </c>
      <c r="L82" s="28"/>
      <c r="M82" s="28"/>
      <c r="N82" s="28"/>
      <c r="O82" s="28" t="s">
        <v>86</v>
      </c>
      <c r="P82" s="28" t="s">
        <v>510</v>
      </c>
      <c r="Q82" s="13" t="s">
        <v>82</v>
      </c>
    </row>
    <row r="83" spans="1:18" ht="172.8" x14ac:dyDescent="0.3">
      <c r="A83" s="96">
        <v>70</v>
      </c>
      <c r="B83" s="32"/>
      <c r="C83" s="32"/>
      <c r="D83" s="32"/>
      <c r="E83" s="32"/>
      <c r="F83" s="32" t="s">
        <v>224</v>
      </c>
      <c r="G83" s="32" t="s">
        <v>125</v>
      </c>
      <c r="H83" s="13" t="s">
        <v>85</v>
      </c>
      <c r="I83" s="32" t="s">
        <v>542</v>
      </c>
      <c r="J83" s="32"/>
      <c r="K83" s="13" t="s">
        <v>82</v>
      </c>
      <c r="L83" s="28"/>
      <c r="M83" s="28"/>
      <c r="N83" s="28"/>
      <c r="O83" s="28" t="s">
        <v>86</v>
      </c>
      <c r="P83" s="28" t="s">
        <v>510</v>
      </c>
      <c r="Q83" s="13" t="s">
        <v>82</v>
      </c>
    </row>
    <row r="84" spans="1:18" ht="100.8" x14ac:dyDescent="0.3">
      <c r="A84" s="96">
        <v>71</v>
      </c>
      <c r="B84" s="32"/>
      <c r="C84" s="32"/>
      <c r="D84" s="32"/>
      <c r="E84" s="32"/>
      <c r="F84" s="32" t="s">
        <v>227</v>
      </c>
      <c r="G84" s="32" t="s">
        <v>101</v>
      </c>
      <c r="H84" s="13" t="s">
        <v>85</v>
      </c>
      <c r="I84" s="32" t="s">
        <v>543</v>
      </c>
      <c r="J84" s="32"/>
      <c r="K84" s="13" t="s">
        <v>85</v>
      </c>
      <c r="L84" s="28"/>
      <c r="M84" s="28"/>
      <c r="N84" s="28"/>
      <c r="O84" s="28" t="s">
        <v>86</v>
      </c>
      <c r="P84" s="28" t="s">
        <v>510</v>
      </c>
      <c r="Q84" s="13" t="s">
        <v>82</v>
      </c>
    </row>
    <row r="85" spans="1:18" ht="62.4" x14ac:dyDescent="0.3">
      <c r="A85" s="96">
        <v>72</v>
      </c>
      <c r="B85" s="32"/>
      <c r="C85" s="32"/>
      <c r="D85" s="32"/>
      <c r="E85" s="32"/>
      <c r="F85" s="32" t="s">
        <v>235</v>
      </c>
      <c r="G85" s="32" t="s">
        <v>125</v>
      </c>
      <c r="H85" s="13" t="s">
        <v>85</v>
      </c>
      <c r="I85" s="32" t="s">
        <v>544</v>
      </c>
      <c r="J85" s="32"/>
      <c r="K85" s="13" t="s">
        <v>85</v>
      </c>
      <c r="L85" s="28"/>
      <c r="M85" s="28"/>
      <c r="N85" s="28"/>
      <c r="O85" s="28" t="s">
        <v>86</v>
      </c>
      <c r="P85" s="28" t="s">
        <v>510</v>
      </c>
      <c r="Q85" s="13" t="s">
        <v>82</v>
      </c>
    </row>
    <row r="86" spans="1:18" ht="43.2" x14ac:dyDescent="0.3">
      <c r="A86" s="96">
        <v>73</v>
      </c>
      <c r="B86" s="32"/>
      <c r="C86" s="32"/>
      <c r="D86" s="32"/>
      <c r="E86" s="32"/>
      <c r="F86" s="32" t="s">
        <v>237</v>
      </c>
      <c r="G86" s="32" t="s">
        <v>125</v>
      </c>
      <c r="H86" s="13" t="s">
        <v>85</v>
      </c>
      <c r="I86" s="32" t="s">
        <v>545</v>
      </c>
      <c r="J86" s="32"/>
      <c r="K86" s="13" t="s">
        <v>82</v>
      </c>
      <c r="L86" s="28"/>
      <c r="M86" s="28"/>
      <c r="N86" s="28"/>
      <c r="O86" s="28" t="s">
        <v>86</v>
      </c>
      <c r="P86" s="28" t="s">
        <v>510</v>
      </c>
      <c r="Q86" s="13" t="s">
        <v>82</v>
      </c>
    </row>
    <row r="87" spans="1:18" ht="43.2" x14ac:dyDescent="0.3">
      <c r="A87" s="96">
        <v>74</v>
      </c>
      <c r="B87" s="32"/>
      <c r="C87" s="32"/>
      <c r="D87" s="32"/>
      <c r="E87" s="32"/>
      <c r="F87" s="32" t="s">
        <v>248</v>
      </c>
      <c r="G87" s="32" t="s">
        <v>261</v>
      </c>
      <c r="H87" s="13" t="s">
        <v>85</v>
      </c>
      <c r="I87" s="32"/>
      <c r="J87" s="32"/>
      <c r="K87" s="13" t="s">
        <v>82</v>
      </c>
      <c r="L87" s="28"/>
      <c r="M87" s="28"/>
      <c r="N87" s="28"/>
      <c r="O87" s="28" t="s">
        <v>86</v>
      </c>
      <c r="P87" s="28" t="s">
        <v>510</v>
      </c>
      <c r="Q87" s="13" t="s">
        <v>82</v>
      </c>
    </row>
    <row r="88" spans="1:18" ht="43.2" x14ac:dyDescent="0.3">
      <c r="A88" s="96">
        <v>75</v>
      </c>
      <c r="B88" s="32"/>
      <c r="C88" s="32"/>
      <c r="D88" s="32"/>
      <c r="E88" s="32"/>
      <c r="F88" s="32" t="s">
        <v>249</v>
      </c>
      <c r="G88" s="32" t="s">
        <v>125</v>
      </c>
      <c r="H88" s="13" t="s">
        <v>85</v>
      </c>
      <c r="I88" s="32"/>
      <c r="J88" s="32"/>
      <c r="K88" s="13" t="s">
        <v>82</v>
      </c>
      <c r="L88" s="28"/>
      <c r="M88" s="28"/>
      <c r="N88" s="28"/>
      <c r="O88" s="28" t="s">
        <v>86</v>
      </c>
      <c r="P88" s="28" t="s">
        <v>510</v>
      </c>
      <c r="Q88" s="13" t="s">
        <v>82</v>
      </c>
    </row>
    <row r="89" spans="1:18" ht="43.2" x14ac:dyDescent="0.3">
      <c r="A89" s="96">
        <v>76</v>
      </c>
      <c r="B89" s="32"/>
      <c r="C89" s="32"/>
      <c r="D89" s="32"/>
      <c r="E89" s="32"/>
      <c r="F89" s="32" t="s">
        <v>250</v>
      </c>
      <c r="G89" s="32" t="s">
        <v>152</v>
      </c>
      <c r="H89" s="13" t="s">
        <v>85</v>
      </c>
      <c r="I89" s="32"/>
      <c r="J89" s="32"/>
      <c r="K89" s="13" t="s">
        <v>82</v>
      </c>
      <c r="L89" s="28"/>
      <c r="M89" s="28"/>
      <c r="N89" s="28"/>
      <c r="O89" s="28" t="s">
        <v>86</v>
      </c>
      <c r="P89" s="28" t="s">
        <v>510</v>
      </c>
      <c r="Q89" s="13" t="s">
        <v>82</v>
      </c>
    </row>
    <row r="90" spans="1:18" ht="43.2" x14ac:dyDescent="0.3">
      <c r="A90" s="96">
        <v>77</v>
      </c>
      <c r="B90" s="32"/>
      <c r="C90" s="32"/>
      <c r="D90" s="32"/>
      <c r="E90" s="32"/>
      <c r="F90" s="32" t="s">
        <v>251</v>
      </c>
      <c r="G90" s="32" t="s">
        <v>261</v>
      </c>
      <c r="H90" s="13" t="s">
        <v>85</v>
      </c>
      <c r="I90" s="32"/>
      <c r="J90" s="32"/>
      <c r="K90" s="13" t="s">
        <v>82</v>
      </c>
      <c r="L90" s="28"/>
      <c r="M90" s="28"/>
      <c r="N90" s="28"/>
      <c r="O90" s="28" t="s">
        <v>86</v>
      </c>
      <c r="P90" s="28" t="s">
        <v>510</v>
      </c>
      <c r="Q90" s="13" t="s">
        <v>82</v>
      </c>
    </row>
    <row r="91" spans="1:18" ht="43.2" x14ac:dyDescent="0.3">
      <c r="A91" s="96">
        <v>78</v>
      </c>
      <c r="B91" s="32"/>
      <c r="C91" s="32"/>
      <c r="D91" s="32"/>
      <c r="E91" s="32"/>
      <c r="F91" s="32" t="s">
        <v>256</v>
      </c>
      <c r="G91" s="32" t="s">
        <v>125</v>
      </c>
      <c r="H91" s="13" t="s">
        <v>85</v>
      </c>
      <c r="I91" s="32"/>
      <c r="J91" s="32"/>
      <c r="K91" s="13" t="s">
        <v>82</v>
      </c>
      <c r="L91" s="28"/>
      <c r="M91" s="28"/>
      <c r="N91" s="28"/>
      <c r="O91" s="28" t="s">
        <v>86</v>
      </c>
      <c r="P91" s="28" t="s">
        <v>510</v>
      </c>
      <c r="Q91" s="13" t="s">
        <v>82</v>
      </c>
    </row>
    <row r="92" spans="1:18" ht="43.2" x14ac:dyDescent="0.3">
      <c r="A92" s="96">
        <v>79</v>
      </c>
      <c r="B92" s="32"/>
      <c r="C92" s="32"/>
      <c r="D92" s="32"/>
      <c r="E92" s="32"/>
      <c r="F92" s="32" t="s">
        <v>257</v>
      </c>
      <c r="G92" s="32" t="s">
        <v>125</v>
      </c>
      <c r="H92" s="13" t="s">
        <v>85</v>
      </c>
      <c r="I92" s="32"/>
      <c r="J92" s="32"/>
      <c r="K92" s="13" t="s">
        <v>82</v>
      </c>
      <c r="L92" s="28"/>
      <c r="M92" s="28"/>
      <c r="N92" s="28"/>
      <c r="O92" s="28" t="s">
        <v>86</v>
      </c>
      <c r="P92" s="28" t="s">
        <v>510</v>
      </c>
      <c r="Q92" s="13" t="s">
        <v>82</v>
      </c>
    </row>
    <row r="93" spans="1:18" s="20" customFormat="1" ht="43.2" x14ac:dyDescent="0.3">
      <c r="A93" s="96">
        <v>80</v>
      </c>
      <c r="B93" s="49"/>
      <c r="C93" s="10"/>
      <c r="D93" s="10"/>
      <c r="E93" s="10"/>
      <c r="F93" s="27" t="s">
        <v>255</v>
      </c>
      <c r="G93" s="32" t="s">
        <v>125</v>
      </c>
      <c r="H93" s="13" t="s">
        <v>85</v>
      </c>
      <c r="I93" s="32"/>
      <c r="J93" s="32"/>
      <c r="K93" s="32"/>
      <c r="L93" s="32"/>
      <c r="M93" s="32"/>
      <c r="N93" s="99"/>
      <c r="O93" s="28"/>
      <c r="P93" s="28" t="s">
        <v>510</v>
      </c>
      <c r="Q93" s="50"/>
      <c r="R93" s="1"/>
    </row>
    <row r="94" spans="1:18" ht="43.2" x14ac:dyDescent="0.3">
      <c r="A94" s="96">
        <v>81</v>
      </c>
      <c r="B94" s="32"/>
      <c r="C94" s="32"/>
      <c r="D94" s="32"/>
      <c r="E94" s="32"/>
      <c r="F94" s="32" t="s">
        <v>258</v>
      </c>
      <c r="G94" s="32" t="s">
        <v>101</v>
      </c>
      <c r="H94" s="13" t="s">
        <v>85</v>
      </c>
      <c r="I94" s="32"/>
      <c r="J94" s="32"/>
      <c r="K94" s="13" t="s">
        <v>85</v>
      </c>
      <c r="L94" s="28"/>
      <c r="M94" s="28"/>
      <c r="N94" s="28"/>
      <c r="O94" s="28" t="s">
        <v>86</v>
      </c>
      <c r="P94" s="28" t="s">
        <v>510</v>
      </c>
      <c r="Q94" s="13" t="s">
        <v>82</v>
      </c>
    </row>
    <row r="95" spans="1:18" ht="43.2" x14ac:dyDescent="0.3">
      <c r="A95" s="96">
        <v>82</v>
      </c>
      <c r="B95" s="32"/>
      <c r="C95" s="32"/>
      <c r="D95" s="32"/>
      <c r="E95" s="32"/>
      <c r="F95" s="32" t="s">
        <v>259</v>
      </c>
      <c r="G95" s="32" t="s">
        <v>101</v>
      </c>
      <c r="H95" s="13" t="s">
        <v>85</v>
      </c>
      <c r="I95" s="32"/>
      <c r="J95" s="32"/>
      <c r="K95" s="13" t="s">
        <v>85</v>
      </c>
      <c r="L95" s="28"/>
      <c r="M95" s="28"/>
      <c r="N95" s="28"/>
      <c r="O95" s="28" t="s">
        <v>86</v>
      </c>
      <c r="P95" s="28" t="s">
        <v>510</v>
      </c>
      <c r="Q95" s="13" t="s">
        <v>82</v>
      </c>
    </row>
    <row r="96" spans="1:18" ht="43.2" x14ac:dyDescent="0.3">
      <c r="A96" s="96">
        <v>83</v>
      </c>
      <c r="B96" s="32"/>
      <c r="C96" s="32"/>
      <c r="D96" s="32"/>
      <c r="E96" s="32"/>
      <c r="F96" s="32" t="s">
        <v>260</v>
      </c>
      <c r="G96" s="32" t="s">
        <v>261</v>
      </c>
      <c r="H96" s="13" t="s">
        <v>85</v>
      </c>
      <c r="I96" s="32"/>
      <c r="J96" s="32"/>
      <c r="K96" s="13" t="s">
        <v>85</v>
      </c>
      <c r="L96" s="28"/>
      <c r="M96" s="28"/>
      <c r="N96" s="28"/>
      <c r="O96" s="28" t="s">
        <v>86</v>
      </c>
      <c r="P96" s="28" t="s">
        <v>510</v>
      </c>
      <c r="Q96" s="13" t="s">
        <v>82</v>
      </c>
    </row>
    <row r="97" spans="1:17" ht="43.2" x14ac:dyDescent="0.3">
      <c r="A97" s="96">
        <v>84</v>
      </c>
      <c r="B97" s="32"/>
      <c r="C97" s="32"/>
      <c r="D97" s="32"/>
      <c r="E97" s="32"/>
      <c r="F97" s="32" t="s">
        <v>262</v>
      </c>
      <c r="G97" s="32" t="s">
        <v>261</v>
      </c>
      <c r="H97" s="13" t="s">
        <v>85</v>
      </c>
      <c r="I97" s="32"/>
      <c r="J97" s="32"/>
      <c r="K97" s="13" t="s">
        <v>85</v>
      </c>
      <c r="L97" s="28"/>
      <c r="M97" s="28"/>
      <c r="N97" s="28"/>
      <c r="O97" s="28" t="s">
        <v>86</v>
      </c>
      <c r="P97" s="28" t="s">
        <v>510</v>
      </c>
      <c r="Q97" s="13" t="s">
        <v>82</v>
      </c>
    </row>
    <row r="98" spans="1:17" ht="43.2" x14ac:dyDescent="0.3">
      <c r="A98" s="96">
        <v>85</v>
      </c>
      <c r="B98" s="32"/>
      <c r="C98" s="32"/>
      <c r="D98" s="32"/>
      <c r="E98" s="32"/>
      <c r="F98" s="32" t="s">
        <v>263</v>
      </c>
      <c r="G98" s="32" t="s">
        <v>125</v>
      </c>
      <c r="H98" s="13" t="s">
        <v>85</v>
      </c>
      <c r="I98" s="32"/>
      <c r="J98" s="32"/>
      <c r="K98" s="13" t="s">
        <v>85</v>
      </c>
      <c r="L98" s="28"/>
      <c r="M98" s="28"/>
      <c r="N98" s="28"/>
      <c r="O98" s="28" t="s">
        <v>86</v>
      </c>
      <c r="P98" s="28" t="s">
        <v>510</v>
      </c>
      <c r="Q98" s="13" t="s">
        <v>82</v>
      </c>
    </row>
    <row r="99" spans="1:17" ht="43.2" x14ac:dyDescent="0.3">
      <c r="A99" s="96">
        <v>86</v>
      </c>
      <c r="B99" s="32"/>
      <c r="C99" s="32"/>
      <c r="D99" s="32"/>
      <c r="E99" s="32"/>
      <c r="F99" s="32" t="s">
        <v>264</v>
      </c>
      <c r="G99" s="32" t="s">
        <v>152</v>
      </c>
      <c r="H99" s="13" t="s">
        <v>85</v>
      </c>
      <c r="I99" s="32"/>
      <c r="J99" s="32"/>
      <c r="K99" s="13" t="s">
        <v>85</v>
      </c>
      <c r="L99" s="28"/>
      <c r="M99" s="28"/>
      <c r="N99" s="28"/>
      <c r="O99" s="28" t="s">
        <v>86</v>
      </c>
      <c r="P99" s="28" t="s">
        <v>510</v>
      </c>
      <c r="Q99" s="13" t="s">
        <v>82</v>
      </c>
    </row>
    <row r="100" spans="1:17" ht="43.2" x14ac:dyDescent="0.3">
      <c r="A100" s="96">
        <v>87</v>
      </c>
      <c r="B100" s="32"/>
      <c r="C100" s="32"/>
      <c r="D100" s="32"/>
      <c r="E100" s="32"/>
      <c r="F100" s="32" t="s">
        <v>265</v>
      </c>
      <c r="G100" s="32" t="s">
        <v>152</v>
      </c>
      <c r="H100" s="13" t="s">
        <v>85</v>
      </c>
      <c r="I100" s="32"/>
      <c r="J100" s="32"/>
      <c r="K100" s="13" t="s">
        <v>85</v>
      </c>
      <c r="L100" s="28"/>
      <c r="M100" s="28"/>
      <c r="N100" s="28"/>
      <c r="O100" s="28" t="s">
        <v>86</v>
      </c>
      <c r="P100" s="28" t="s">
        <v>510</v>
      </c>
      <c r="Q100" s="13" t="s">
        <v>82</v>
      </c>
    </row>
    <row r="101" spans="1:17" ht="43.2" x14ac:dyDescent="0.3">
      <c r="A101" s="96">
        <v>88</v>
      </c>
      <c r="B101" s="32"/>
      <c r="C101" s="32"/>
      <c r="D101" s="32"/>
      <c r="E101" s="32"/>
      <c r="F101" s="32" t="s">
        <v>266</v>
      </c>
      <c r="G101" s="32" t="s">
        <v>261</v>
      </c>
      <c r="H101" s="13" t="s">
        <v>85</v>
      </c>
      <c r="I101" s="32"/>
      <c r="J101" s="32"/>
      <c r="K101" s="13" t="s">
        <v>85</v>
      </c>
      <c r="L101" s="28"/>
      <c r="M101" s="28"/>
      <c r="N101" s="28"/>
      <c r="O101" s="28" t="s">
        <v>86</v>
      </c>
      <c r="P101" s="28" t="s">
        <v>510</v>
      </c>
      <c r="Q101" s="13" t="s">
        <v>82</v>
      </c>
    </row>
    <row r="102" spans="1:17" ht="43.2" x14ac:dyDescent="0.3">
      <c r="A102" s="96">
        <v>89</v>
      </c>
      <c r="B102" s="32"/>
      <c r="C102" s="32"/>
      <c r="D102" s="32"/>
      <c r="E102" s="32"/>
      <c r="F102" s="32" t="s">
        <v>267</v>
      </c>
      <c r="G102" s="32" t="s">
        <v>125</v>
      </c>
      <c r="H102" s="13" t="s">
        <v>85</v>
      </c>
      <c r="I102" s="32"/>
      <c r="J102" s="32"/>
      <c r="K102" s="13" t="s">
        <v>85</v>
      </c>
      <c r="L102" s="28"/>
      <c r="M102" s="28"/>
      <c r="N102" s="28"/>
      <c r="O102" s="28" t="s">
        <v>86</v>
      </c>
      <c r="P102" s="28" t="s">
        <v>510</v>
      </c>
      <c r="Q102" s="13" t="s">
        <v>82</v>
      </c>
    </row>
    <row r="103" spans="1:17" ht="43.2" x14ac:dyDescent="0.3">
      <c r="A103" s="96">
        <v>90</v>
      </c>
      <c r="B103" s="32"/>
      <c r="C103" s="32"/>
      <c r="D103" s="32"/>
      <c r="E103" s="32"/>
      <c r="F103" s="32" t="s">
        <v>268</v>
      </c>
      <c r="G103" s="32" t="s">
        <v>125</v>
      </c>
      <c r="H103" s="13" t="s">
        <v>85</v>
      </c>
      <c r="I103" s="32"/>
      <c r="J103" s="32"/>
      <c r="K103" s="13" t="s">
        <v>85</v>
      </c>
      <c r="L103" s="28"/>
      <c r="M103" s="28"/>
      <c r="N103" s="28"/>
      <c r="O103" s="28" t="s">
        <v>86</v>
      </c>
      <c r="P103" s="28" t="s">
        <v>510</v>
      </c>
      <c r="Q103" s="13" t="s">
        <v>82</v>
      </c>
    </row>
    <row r="104" spans="1:17" ht="43.2" x14ac:dyDescent="0.3">
      <c r="A104" s="96">
        <v>91</v>
      </c>
      <c r="B104" s="32"/>
      <c r="C104" s="32"/>
      <c r="D104" s="32"/>
      <c r="E104" s="32"/>
      <c r="F104" s="28" t="s">
        <v>269</v>
      </c>
      <c r="G104" s="32" t="s">
        <v>101</v>
      </c>
      <c r="H104" s="13" t="s">
        <v>85</v>
      </c>
      <c r="I104" s="32"/>
      <c r="J104" s="32"/>
      <c r="K104" s="13" t="s">
        <v>85</v>
      </c>
      <c r="L104" s="28"/>
      <c r="M104" s="28"/>
      <c r="N104" s="28"/>
      <c r="O104" s="28" t="s">
        <v>86</v>
      </c>
      <c r="P104" s="28" t="s">
        <v>510</v>
      </c>
      <c r="Q104" s="13" t="s">
        <v>82</v>
      </c>
    </row>
    <row r="105" spans="1:17" ht="43.2" x14ac:dyDescent="0.3">
      <c r="A105" s="96">
        <v>92</v>
      </c>
      <c r="B105" s="32"/>
      <c r="C105" s="32"/>
      <c r="D105" s="32"/>
      <c r="E105" s="32"/>
      <c r="F105" s="28" t="s">
        <v>270</v>
      </c>
      <c r="G105" s="32" t="s">
        <v>125</v>
      </c>
      <c r="H105" s="13" t="s">
        <v>85</v>
      </c>
      <c r="I105" s="32"/>
      <c r="J105" s="32"/>
      <c r="K105" s="13" t="s">
        <v>82</v>
      </c>
      <c r="L105" s="28"/>
      <c r="M105" s="28"/>
      <c r="N105" s="28"/>
      <c r="O105" s="28" t="s">
        <v>86</v>
      </c>
      <c r="P105" s="28" t="s">
        <v>510</v>
      </c>
      <c r="Q105" s="13" t="s">
        <v>82</v>
      </c>
    </row>
    <row r="106" spans="1:17" ht="43.2" x14ac:dyDescent="0.3">
      <c r="A106" s="96">
        <v>93</v>
      </c>
      <c r="B106" s="32"/>
      <c r="C106" s="32"/>
      <c r="D106" s="32"/>
      <c r="E106" s="32"/>
      <c r="F106" s="28" t="s">
        <v>271</v>
      </c>
      <c r="G106" s="32" t="s">
        <v>152</v>
      </c>
      <c r="H106" s="13" t="s">
        <v>85</v>
      </c>
      <c r="I106" s="32"/>
      <c r="J106" s="32"/>
      <c r="K106" s="13" t="s">
        <v>82</v>
      </c>
      <c r="L106" s="28"/>
      <c r="M106" s="28"/>
      <c r="N106" s="28"/>
      <c r="O106" s="28" t="s">
        <v>86</v>
      </c>
      <c r="P106" s="28" t="s">
        <v>510</v>
      </c>
      <c r="Q106" s="13" t="s">
        <v>82</v>
      </c>
    </row>
    <row r="107" spans="1:17" ht="43.2" x14ac:dyDescent="0.3">
      <c r="A107" s="96">
        <v>94</v>
      </c>
      <c r="B107" s="32"/>
      <c r="C107" s="32"/>
      <c r="D107" s="32"/>
      <c r="E107" s="32"/>
      <c r="F107" s="28" t="s">
        <v>272</v>
      </c>
      <c r="G107" s="32" t="s">
        <v>125</v>
      </c>
      <c r="H107" s="13" t="s">
        <v>85</v>
      </c>
      <c r="I107" s="32"/>
      <c r="J107" s="32"/>
      <c r="K107" s="13" t="s">
        <v>82</v>
      </c>
      <c r="L107" s="28"/>
      <c r="M107" s="28"/>
      <c r="N107" s="28"/>
      <c r="O107" s="28" t="s">
        <v>86</v>
      </c>
      <c r="P107" s="28" t="s">
        <v>510</v>
      </c>
      <c r="Q107" s="13" t="s">
        <v>82</v>
      </c>
    </row>
    <row r="108" spans="1:17" ht="43.2" x14ac:dyDescent="0.3">
      <c r="A108" s="96">
        <v>95</v>
      </c>
      <c r="B108" s="32"/>
      <c r="C108" s="32"/>
      <c r="D108" s="32"/>
      <c r="E108" s="32"/>
      <c r="F108" s="28" t="s">
        <v>273</v>
      </c>
      <c r="G108" s="32" t="s">
        <v>125</v>
      </c>
      <c r="H108" s="13" t="s">
        <v>85</v>
      </c>
      <c r="I108" s="32"/>
      <c r="J108" s="32"/>
      <c r="K108" s="13" t="s">
        <v>82</v>
      </c>
      <c r="L108" s="28"/>
      <c r="M108" s="28"/>
      <c r="N108" s="28"/>
      <c r="O108" s="28" t="s">
        <v>86</v>
      </c>
      <c r="P108" s="28" t="s">
        <v>510</v>
      </c>
      <c r="Q108" s="13" t="s">
        <v>82</v>
      </c>
    </row>
    <row r="109" spans="1:17" ht="43.2" x14ac:dyDescent="0.3">
      <c r="A109" s="96">
        <v>96</v>
      </c>
      <c r="B109" s="32"/>
      <c r="C109" s="32"/>
      <c r="D109" s="32"/>
      <c r="E109" s="32"/>
      <c r="F109" s="28" t="s">
        <v>274</v>
      </c>
      <c r="G109" s="32" t="s">
        <v>101</v>
      </c>
      <c r="H109" s="13" t="s">
        <v>85</v>
      </c>
      <c r="I109" s="32"/>
      <c r="J109" s="32"/>
      <c r="K109" s="13" t="s">
        <v>82</v>
      </c>
      <c r="L109" s="28"/>
      <c r="M109" s="28"/>
      <c r="N109" s="28"/>
      <c r="O109" s="28" t="s">
        <v>86</v>
      </c>
      <c r="P109" s="28" t="s">
        <v>510</v>
      </c>
      <c r="Q109" s="13" t="s">
        <v>82</v>
      </c>
    </row>
    <row r="110" spans="1:17" ht="43.2" x14ac:dyDescent="0.3">
      <c r="A110" s="96">
        <v>97</v>
      </c>
      <c r="B110" s="32"/>
      <c r="C110" s="32"/>
      <c r="D110" s="32"/>
      <c r="E110" s="32"/>
      <c r="F110" s="28" t="s">
        <v>159</v>
      </c>
      <c r="G110" s="32" t="s">
        <v>152</v>
      </c>
      <c r="H110" s="13" t="s">
        <v>85</v>
      </c>
      <c r="I110" s="32"/>
      <c r="J110" s="32"/>
      <c r="K110" s="13" t="s">
        <v>82</v>
      </c>
      <c r="L110" s="28"/>
      <c r="M110" s="28"/>
      <c r="N110" s="28"/>
      <c r="O110" s="28" t="s">
        <v>86</v>
      </c>
      <c r="P110" s="28" t="s">
        <v>510</v>
      </c>
      <c r="Q110" s="13" t="s">
        <v>82</v>
      </c>
    </row>
    <row r="111" spans="1:17" ht="43.2" x14ac:dyDescent="0.3">
      <c r="A111" s="96">
        <v>98</v>
      </c>
      <c r="B111" s="32"/>
      <c r="C111" s="32"/>
      <c r="D111" s="32"/>
      <c r="E111" s="32"/>
      <c r="F111" s="28" t="s">
        <v>275</v>
      </c>
      <c r="G111" s="32" t="s">
        <v>17</v>
      </c>
      <c r="H111" s="13" t="s">
        <v>85</v>
      </c>
      <c r="I111" s="32"/>
      <c r="J111" s="32"/>
      <c r="K111" s="13" t="s">
        <v>82</v>
      </c>
      <c r="L111" s="28"/>
      <c r="M111" s="28"/>
      <c r="N111" s="28"/>
      <c r="O111" s="28" t="s">
        <v>86</v>
      </c>
      <c r="P111" s="28" t="s">
        <v>510</v>
      </c>
      <c r="Q111" s="13" t="s">
        <v>82</v>
      </c>
    </row>
    <row r="112" spans="1:17" ht="43.2" x14ac:dyDescent="0.3">
      <c r="A112" s="96">
        <v>99</v>
      </c>
      <c r="B112" s="32"/>
      <c r="C112" s="32"/>
      <c r="D112" s="32"/>
      <c r="E112" s="32"/>
      <c r="F112" s="28" t="s">
        <v>276</v>
      </c>
      <c r="G112" s="32" t="s">
        <v>125</v>
      </c>
      <c r="H112" s="13" t="s">
        <v>85</v>
      </c>
      <c r="I112" s="32"/>
      <c r="J112" s="32"/>
      <c r="K112" s="13" t="s">
        <v>82</v>
      </c>
      <c r="L112" s="28"/>
      <c r="M112" s="28"/>
      <c r="N112" s="28"/>
      <c r="O112" s="28" t="s">
        <v>86</v>
      </c>
      <c r="P112" s="28" t="s">
        <v>510</v>
      </c>
      <c r="Q112" s="13" t="s">
        <v>82</v>
      </c>
    </row>
    <row r="113" spans="1:17" ht="43.2" x14ac:dyDescent="0.3">
      <c r="A113" s="96">
        <v>100</v>
      </c>
      <c r="B113" s="32"/>
      <c r="C113" s="32"/>
      <c r="D113" s="32"/>
      <c r="E113" s="32"/>
      <c r="F113" s="28" t="s">
        <v>277</v>
      </c>
      <c r="G113" s="32" t="s">
        <v>17</v>
      </c>
      <c r="H113" s="13" t="s">
        <v>85</v>
      </c>
      <c r="I113" s="32"/>
      <c r="J113" s="32"/>
      <c r="K113" s="13" t="s">
        <v>82</v>
      </c>
      <c r="L113" s="28"/>
      <c r="M113" s="28"/>
      <c r="N113" s="28"/>
      <c r="O113" s="28" t="s">
        <v>86</v>
      </c>
      <c r="P113" s="28" t="s">
        <v>510</v>
      </c>
      <c r="Q113" s="13" t="s">
        <v>82</v>
      </c>
    </row>
    <row r="114" spans="1:17" ht="43.2" x14ac:dyDescent="0.3">
      <c r="A114" s="96">
        <v>101</v>
      </c>
      <c r="B114" s="32"/>
      <c r="C114" s="32"/>
      <c r="D114" s="32"/>
      <c r="E114" s="32"/>
      <c r="F114" s="28" t="s">
        <v>278</v>
      </c>
      <c r="G114" s="32" t="s">
        <v>125</v>
      </c>
      <c r="H114" s="13" t="s">
        <v>85</v>
      </c>
      <c r="I114" s="32"/>
      <c r="J114" s="32"/>
      <c r="K114" s="13" t="s">
        <v>82</v>
      </c>
      <c r="L114" s="28"/>
      <c r="M114" s="28"/>
      <c r="N114" s="28"/>
      <c r="O114" s="28" t="s">
        <v>86</v>
      </c>
      <c r="P114" s="28" t="s">
        <v>510</v>
      </c>
      <c r="Q114" s="13" t="s">
        <v>82</v>
      </c>
    </row>
    <row r="115" spans="1:17" ht="43.2" x14ac:dyDescent="0.3">
      <c r="A115" s="96">
        <v>102</v>
      </c>
      <c r="B115" s="32"/>
      <c r="C115" s="32"/>
      <c r="D115" s="32"/>
      <c r="E115" s="32"/>
      <c r="F115" s="28" t="s">
        <v>279</v>
      </c>
      <c r="G115" s="32" t="s">
        <v>152</v>
      </c>
      <c r="H115" s="13" t="s">
        <v>85</v>
      </c>
      <c r="I115" s="32"/>
      <c r="J115" s="32"/>
      <c r="K115" s="13" t="s">
        <v>82</v>
      </c>
      <c r="L115" s="28"/>
      <c r="M115" s="28"/>
      <c r="N115" s="28"/>
      <c r="O115" s="28" t="s">
        <v>86</v>
      </c>
      <c r="P115" s="28" t="s">
        <v>510</v>
      </c>
      <c r="Q115" s="13" t="s">
        <v>82</v>
      </c>
    </row>
    <row r="116" spans="1:17" ht="43.2" x14ac:dyDescent="0.3">
      <c r="A116" s="96">
        <v>103</v>
      </c>
      <c r="B116" s="32"/>
      <c r="C116" s="32"/>
      <c r="D116" s="32"/>
      <c r="E116" s="32"/>
      <c r="F116" s="28" t="s">
        <v>280</v>
      </c>
      <c r="G116" s="32" t="s">
        <v>152</v>
      </c>
      <c r="H116" s="13" t="s">
        <v>85</v>
      </c>
      <c r="I116" s="32"/>
      <c r="J116" s="32"/>
      <c r="K116" s="13" t="s">
        <v>82</v>
      </c>
      <c r="L116" s="28"/>
      <c r="M116" s="28"/>
      <c r="N116" s="28"/>
      <c r="O116" s="28" t="s">
        <v>86</v>
      </c>
      <c r="P116" s="28" t="s">
        <v>510</v>
      </c>
      <c r="Q116" s="13" t="s">
        <v>82</v>
      </c>
    </row>
    <row r="117" spans="1:17" ht="43.2" x14ac:dyDescent="0.3">
      <c r="A117" s="96">
        <v>104</v>
      </c>
      <c r="B117" s="32"/>
      <c r="C117" s="32"/>
      <c r="D117" s="32"/>
      <c r="E117" s="32"/>
      <c r="F117" s="28" t="s">
        <v>281</v>
      </c>
      <c r="G117" s="32" t="s">
        <v>152</v>
      </c>
      <c r="H117" s="13" t="s">
        <v>85</v>
      </c>
      <c r="I117" s="32"/>
      <c r="J117" s="32"/>
      <c r="K117" s="13" t="s">
        <v>82</v>
      </c>
      <c r="L117" s="28"/>
      <c r="M117" s="28"/>
      <c r="N117" s="28"/>
      <c r="O117" s="28" t="s">
        <v>86</v>
      </c>
      <c r="P117" s="28" t="s">
        <v>510</v>
      </c>
      <c r="Q117" s="13" t="s">
        <v>82</v>
      </c>
    </row>
    <row r="118" spans="1:17" ht="43.2" x14ac:dyDescent="0.3">
      <c r="A118" s="96">
        <v>105</v>
      </c>
      <c r="B118" s="32"/>
      <c r="C118" s="32"/>
      <c r="D118" s="32"/>
      <c r="E118" s="32"/>
      <c r="F118" s="28" t="s">
        <v>282</v>
      </c>
      <c r="G118" s="32" t="s">
        <v>152</v>
      </c>
      <c r="H118" s="13" t="s">
        <v>85</v>
      </c>
      <c r="I118" s="32"/>
      <c r="J118" s="32"/>
      <c r="K118" s="13" t="s">
        <v>85</v>
      </c>
      <c r="L118" s="28"/>
      <c r="M118" s="28"/>
      <c r="N118" s="28"/>
      <c r="O118" s="28" t="s">
        <v>86</v>
      </c>
      <c r="P118" s="28" t="s">
        <v>510</v>
      </c>
      <c r="Q118" s="13" t="s">
        <v>82</v>
      </c>
    </row>
    <row r="119" spans="1:17" s="20" customFormat="1" ht="43.2" x14ac:dyDescent="0.3">
      <c r="A119" s="96">
        <v>106</v>
      </c>
      <c r="B119" s="32"/>
      <c r="C119" s="32"/>
      <c r="D119" s="32"/>
      <c r="E119" s="32"/>
      <c r="F119" s="148" t="s">
        <v>491</v>
      </c>
      <c r="G119" s="147" t="s">
        <v>17</v>
      </c>
      <c r="H119" s="149" t="s">
        <v>82</v>
      </c>
      <c r="I119" s="147" t="s">
        <v>546</v>
      </c>
      <c r="J119" s="147"/>
      <c r="K119" s="149" t="s">
        <v>85</v>
      </c>
      <c r="L119" s="232"/>
      <c r="O119" s="20" t="s">
        <v>86</v>
      </c>
      <c r="P119" s="28" t="s">
        <v>510</v>
      </c>
    </row>
    <row r="120" spans="1:17" ht="52.2" customHeight="1" x14ac:dyDescent="0.3">
      <c r="A120" s="96">
        <v>107</v>
      </c>
      <c r="B120" s="32"/>
      <c r="C120" s="32"/>
      <c r="D120" s="32"/>
      <c r="E120" s="32"/>
      <c r="F120" s="32" t="s">
        <v>192</v>
      </c>
      <c r="G120" s="32" t="s">
        <v>101</v>
      </c>
      <c r="H120" s="13" t="s">
        <v>85</v>
      </c>
      <c r="I120" s="32" t="s">
        <v>547</v>
      </c>
      <c r="J120" s="32"/>
      <c r="K120" s="13" t="s">
        <v>82</v>
      </c>
      <c r="L120" s="28"/>
      <c r="M120" s="28"/>
      <c r="N120" s="28"/>
      <c r="O120" s="28" t="s">
        <v>86</v>
      </c>
      <c r="P120" s="28" t="s">
        <v>510</v>
      </c>
      <c r="Q120" s="13" t="s">
        <v>82</v>
      </c>
    </row>
    <row r="121" spans="1:17" ht="28.2" customHeight="1" x14ac:dyDescent="0.3">
      <c r="A121" s="96"/>
      <c r="B121" s="32"/>
      <c r="C121" s="32"/>
      <c r="D121" s="32"/>
      <c r="E121" s="32"/>
      <c r="F121" s="231" t="s">
        <v>684</v>
      </c>
      <c r="G121" s="231" t="s">
        <v>125</v>
      </c>
      <c r="H121" s="72" t="s">
        <v>82</v>
      </c>
      <c r="I121" s="55" t="s">
        <v>687</v>
      </c>
      <c r="J121" s="32"/>
      <c r="K121" s="13" t="s">
        <v>85</v>
      </c>
      <c r="L121" s="28"/>
      <c r="M121" s="28"/>
      <c r="N121" s="28"/>
      <c r="O121" s="28"/>
      <c r="P121" s="28"/>
      <c r="Q121" s="13"/>
    </row>
    <row r="122" spans="1:17" ht="22.2" customHeight="1" x14ac:dyDescent="0.3">
      <c r="A122" s="96"/>
      <c r="B122" s="32"/>
      <c r="C122" s="32"/>
      <c r="D122" s="32"/>
      <c r="E122" s="32"/>
      <c r="F122" s="231" t="s">
        <v>685</v>
      </c>
      <c r="G122" s="231" t="s">
        <v>101</v>
      </c>
      <c r="H122" s="72" t="s">
        <v>82</v>
      </c>
      <c r="I122" s="55" t="s">
        <v>686</v>
      </c>
      <c r="J122" s="32"/>
      <c r="K122" s="13" t="s">
        <v>85</v>
      </c>
      <c r="L122" s="28"/>
      <c r="M122" s="28"/>
      <c r="N122" s="28"/>
      <c r="O122" s="28"/>
      <c r="P122" s="28"/>
      <c r="Q122" s="13"/>
    </row>
    <row r="123" spans="1:17" ht="27.6" x14ac:dyDescent="0.3">
      <c r="A123" s="96">
        <v>108</v>
      </c>
      <c r="B123" s="32" t="s">
        <v>314</v>
      </c>
      <c r="C123" s="32"/>
      <c r="D123" s="32"/>
      <c r="E123" s="32"/>
      <c r="F123" s="32" t="s">
        <v>315</v>
      </c>
      <c r="G123" s="32" t="s">
        <v>101</v>
      </c>
      <c r="H123" s="13" t="s">
        <v>85</v>
      </c>
      <c r="I123" s="32" t="s">
        <v>316</v>
      </c>
      <c r="J123" s="32"/>
      <c r="K123" s="13" t="s">
        <v>82</v>
      </c>
      <c r="L123" s="28"/>
      <c r="M123" s="28"/>
      <c r="N123" s="28"/>
      <c r="O123" s="28" t="s">
        <v>548</v>
      </c>
      <c r="P123" s="28" t="s">
        <v>548</v>
      </c>
      <c r="Q123" s="13" t="s">
        <v>82</v>
      </c>
    </row>
    <row r="124" spans="1:17" ht="27.6" x14ac:dyDescent="0.3">
      <c r="A124" s="96">
        <v>109</v>
      </c>
      <c r="B124" s="32" t="s">
        <v>314</v>
      </c>
      <c r="C124" s="32"/>
      <c r="D124" s="32"/>
      <c r="E124" s="32"/>
      <c r="F124" s="32" t="s">
        <v>186</v>
      </c>
      <c r="G124" s="32" t="s">
        <v>152</v>
      </c>
      <c r="H124" s="13" t="s">
        <v>85</v>
      </c>
      <c r="I124" s="32" t="s">
        <v>317</v>
      </c>
      <c r="J124" s="32"/>
      <c r="K124" s="13" t="s">
        <v>82</v>
      </c>
      <c r="L124" s="28"/>
      <c r="M124" s="28"/>
      <c r="N124" s="28"/>
      <c r="O124" s="28"/>
      <c r="P124" s="28"/>
      <c r="Q124" s="13" t="s">
        <v>82</v>
      </c>
    </row>
    <row r="125" spans="1:17" ht="273.60000000000002" x14ac:dyDescent="0.3">
      <c r="A125" s="96">
        <v>110</v>
      </c>
      <c r="B125" s="32" t="s">
        <v>318</v>
      </c>
      <c r="C125" s="32"/>
      <c r="D125" s="32"/>
      <c r="E125" s="26" t="s">
        <v>319</v>
      </c>
      <c r="F125" s="35" t="s">
        <v>109</v>
      </c>
      <c r="G125" s="28" t="s">
        <v>95</v>
      </c>
      <c r="H125" s="13" t="s">
        <v>85</v>
      </c>
      <c r="I125" s="28" t="s">
        <v>320</v>
      </c>
      <c r="J125" s="32"/>
      <c r="K125" s="13"/>
      <c r="L125" s="28"/>
      <c r="M125" s="28"/>
      <c r="N125" s="28"/>
      <c r="O125" s="28"/>
      <c r="P125" s="28"/>
      <c r="Q125" s="13"/>
    </row>
    <row r="126" spans="1:17" x14ac:dyDescent="0.3">
      <c r="A126" s="96">
        <v>111</v>
      </c>
      <c r="B126" s="32" t="s">
        <v>318</v>
      </c>
      <c r="C126" s="32"/>
      <c r="D126" s="32"/>
      <c r="E126" s="26" t="s">
        <v>319</v>
      </c>
      <c r="F126" s="28" t="s">
        <v>111</v>
      </c>
      <c r="G126" s="28" t="s">
        <v>98</v>
      </c>
      <c r="H126" s="13" t="s">
        <v>85</v>
      </c>
      <c r="I126" s="93" t="s">
        <v>321</v>
      </c>
      <c r="J126" s="32"/>
      <c r="K126" s="13" t="s">
        <v>82</v>
      </c>
      <c r="L126" s="28"/>
      <c r="M126" s="28"/>
      <c r="N126" s="28"/>
      <c r="O126" s="28" t="s">
        <v>548</v>
      </c>
      <c r="P126" s="28" t="s">
        <v>548</v>
      </c>
      <c r="Q126" s="13" t="s">
        <v>82</v>
      </c>
    </row>
    <row r="127" spans="1:17" ht="28.8" x14ac:dyDescent="0.3">
      <c r="A127" s="96">
        <v>112</v>
      </c>
      <c r="B127" s="32" t="s">
        <v>318</v>
      </c>
      <c r="C127" s="32"/>
      <c r="D127" s="32"/>
      <c r="E127" s="32"/>
      <c r="F127" s="32" t="s">
        <v>322</v>
      </c>
      <c r="G127" s="32" t="s">
        <v>152</v>
      </c>
      <c r="H127" s="13" t="s">
        <v>85</v>
      </c>
      <c r="I127" s="32" t="s">
        <v>323</v>
      </c>
      <c r="J127" s="32"/>
      <c r="K127" s="13" t="s">
        <v>82</v>
      </c>
      <c r="L127" s="28"/>
      <c r="M127" s="28"/>
      <c r="N127" s="28"/>
      <c r="O127" s="28" t="s">
        <v>548</v>
      </c>
      <c r="P127" s="28" t="s">
        <v>548</v>
      </c>
      <c r="Q127" s="13" t="s">
        <v>82</v>
      </c>
    </row>
    <row r="128" spans="1:17" ht="28.8" x14ac:dyDescent="0.3">
      <c r="A128" s="96">
        <v>113</v>
      </c>
      <c r="B128" s="32" t="s">
        <v>331</v>
      </c>
      <c r="C128" s="32"/>
      <c r="D128" s="32"/>
      <c r="E128" s="32"/>
      <c r="F128" s="32" t="s">
        <v>332</v>
      </c>
      <c r="G128" s="32" t="s">
        <v>101</v>
      </c>
      <c r="H128" s="13" t="s">
        <v>85</v>
      </c>
      <c r="I128" s="32" t="s">
        <v>333</v>
      </c>
      <c r="J128" s="32"/>
      <c r="K128" s="13" t="s">
        <v>82</v>
      </c>
      <c r="L128" s="13" t="s">
        <v>82</v>
      </c>
      <c r="M128" s="28"/>
      <c r="N128" s="32" t="s">
        <v>334</v>
      </c>
      <c r="O128" s="28" t="s">
        <v>548</v>
      </c>
      <c r="P128" s="28" t="s">
        <v>548</v>
      </c>
      <c r="Q128" s="13" t="s">
        <v>82</v>
      </c>
    </row>
    <row r="129" spans="1:17" ht="57.6" x14ac:dyDescent="0.3">
      <c r="A129" s="96">
        <v>114</v>
      </c>
      <c r="B129" s="32" t="s">
        <v>331</v>
      </c>
      <c r="C129" s="32"/>
      <c r="D129" s="32"/>
      <c r="E129" s="32"/>
      <c r="F129" s="32" t="s">
        <v>335</v>
      </c>
      <c r="G129" s="32" t="s">
        <v>101</v>
      </c>
      <c r="H129" s="13" t="s">
        <v>85</v>
      </c>
      <c r="I129" s="32" t="s">
        <v>336</v>
      </c>
      <c r="J129" s="32"/>
      <c r="K129" s="13" t="s">
        <v>82</v>
      </c>
      <c r="L129" s="13" t="s">
        <v>82</v>
      </c>
      <c r="M129" s="28"/>
      <c r="N129" s="32" t="s">
        <v>297</v>
      </c>
      <c r="O129" s="28" t="s">
        <v>548</v>
      </c>
      <c r="P129" s="28" t="s">
        <v>548</v>
      </c>
      <c r="Q129" s="13" t="s">
        <v>82</v>
      </c>
    </row>
    <row r="130" spans="1:17" ht="28.8" x14ac:dyDescent="0.3">
      <c r="A130" s="96">
        <v>115</v>
      </c>
      <c r="B130" s="32" t="s">
        <v>331</v>
      </c>
      <c r="C130" s="32"/>
      <c r="D130" s="32"/>
      <c r="E130" s="32"/>
      <c r="F130" s="32" t="s">
        <v>177</v>
      </c>
      <c r="G130" s="32" t="s">
        <v>101</v>
      </c>
      <c r="H130" s="13" t="s">
        <v>85</v>
      </c>
      <c r="I130" s="32" t="s">
        <v>337</v>
      </c>
      <c r="J130" s="32"/>
      <c r="K130" s="13" t="s">
        <v>82</v>
      </c>
      <c r="L130" s="13" t="s">
        <v>82</v>
      </c>
      <c r="M130" s="28"/>
      <c r="N130" s="32" t="s">
        <v>306</v>
      </c>
      <c r="O130" s="28"/>
      <c r="P130" s="28"/>
      <c r="Q130" s="13" t="s">
        <v>82</v>
      </c>
    </row>
    <row r="131" spans="1:17" ht="115.2" x14ac:dyDescent="0.3">
      <c r="A131" s="96">
        <v>116</v>
      </c>
      <c r="B131" s="32" t="s">
        <v>331</v>
      </c>
      <c r="C131" s="32"/>
      <c r="D131" s="32"/>
      <c r="E131" s="32"/>
      <c r="F131" s="32" t="s">
        <v>338</v>
      </c>
      <c r="G131" s="32" t="s">
        <v>81</v>
      </c>
      <c r="H131" s="13" t="s">
        <v>85</v>
      </c>
      <c r="I131" s="32" t="s">
        <v>339</v>
      </c>
      <c r="J131" s="32"/>
      <c r="K131" s="13" t="s">
        <v>82</v>
      </c>
      <c r="L131" s="13" t="s">
        <v>82</v>
      </c>
      <c r="M131" s="28"/>
      <c r="N131" s="32" t="s">
        <v>340</v>
      </c>
      <c r="O131" s="28" t="s">
        <v>548</v>
      </c>
      <c r="P131" s="28" t="s">
        <v>548</v>
      </c>
      <c r="Q131" s="13" t="s">
        <v>82</v>
      </c>
    </row>
    <row r="132" spans="1:17" ht="72" x14ac:dyDescent="0.3">
      <c r="A132" s="96">
        <v>117</v>
      </c>
      <c r="B132" s="32" t="s">
        <v>331</v>
      </c>
      <c r="C132" s="32"/>
      <c r="D132" s="32"/>
      <c r="E132" s="32"/>
      <c r="F132" s="32" t="s">
        <v>341</v>
      </c>
      <c r="G132" s="32" t="s">
        <v>81</v>
      </c>
      <c r="H132" s="13" t="s">
        <v>85</v>
      </c>
      <c r="I132" s="32" t="s">
        <v>342</v>
      </c>
      <c r="J132" s="32"/>
      <c r="K132" s="13" t="s">
        <v>82</v>
      </c>
      <c r="L132" s="13" t="s">
        <v>82</v>
      </c>
      <c r="M132" s="28"/>
      <c r="N132" s="32" t="s">
        <v>343</v>
      </c>
      <c r="O132" s="28" t="s">
        <v>548</v>
      </c>
      <c r="P132" s="28" t="s">
        <v>548</v>
      </c>
      <c r="Q132" s="13" t="s">
        <v>82</v>
      </c>
    </row>
    <row r="133" spans="1:17" ht="28.8" x14ac:dyDescent="0.3">
      <c r="A133" s="96">
        <v>118</v>
      </c>
      <c r="B133" s="32" t="s">
        <v>331</v>
      </c>
      <c r="C133" s="32"/>
      <c r="D133" s="32"/>
      <c r="E133" s="32"/>
      <c r="F133" s="32" t="s">
        <v>344</v>
      </c>
      <c r="G133" s="32" t="s">
        <v>101</v>
      </c>
      <c r="H133" s="13" t="s">
        <v>85</v>
      </c>
      <c r="I133" s="32" t="s">
        <v>345</v>
      </c>
      <c r="J133" s="32"/>
      <c r="K133" s="13" t="s">
        <v>82</v>
      </c>
      <c r="L133" s="28"/>
      <c r="M133" s="28"/>
      <c r="N133" s="28"/>
      <c r="O133" s="28" t="s">
        <v>548</v>
      </c>
      <c r="P133" s="28" t="s">
        <v>548</v>
      </c>
      <c r="Q133" s="13" t="s">
        <v>82</v>
      </c>
    </row>
    <row r="134" spans="1:17" ht="72" x14ac:dyDescent="0.3">
      <c r="A134" s="96">
        <v>119</v>
      </c>
      <c r="B134" s="32" t="s">
        <v>331</v>
      </c>
      <c r="C134" s="32"/>
      <c r="D134" s="32"/>
      <c r="E134" s="32"/>
      <c r="F134" s="32" t="s">
        <v>329</v>
      </c>
      <c r="G134" s="32" t="s">
        <v>125</v>
      </c>
      <c r="H134" s="13" t="s">
        <v>85</v>
      </c>
      <c r="I134" s="32" t="s">
        <v>346</v>
      </c>
      <c r="J134" s="32"/>
      <c r="K134" s="13" t="s">
        <v>82</v>
      </c>
      <c r="L134" s="28"/>
      <c r="M134" s="28"/>
      <c r="N134" s="28"/>
      <c r="O134" s="28" t="s">
        <v>548</v>
      </c>
      <c r="P134" s="28" t="s">
        <v>548</v>
      </c>
      <c r="Q134" s="13" t="s">
        <v>82</v>
      </c>
    </row>
    <row r="135" spans="1:17" ht="172.8" x14ac:dyDescent="0.3">
      <c r="A135" s="96">
        <v>120</v>
      </c>
      <c r="B135" s="49" t="s">
        <v>331</v>
      </c>
      <c r="C135" s="49"/>
      <c r="D135" s="49"/>
      <c r="E135" s="49"/>
      <c r="F135" s="32" t="s">
        <v>347</v>
      </c>
      <c r="G135" s="28" t="s">
        <v>17</v>
      </c>
      <c r="H135" s="13" t="s">
        <v>85</v>
      </c>
      <c r="I135" s="28" t="s">
        <v>549</v>
      </c>
      <c r="J135" s="28"/>
      <c r="K135" s="13" t="s">
        <v>82</v>
      </c>
      <c r="L135" s="28"/>
      <c r="M135" s="28"/>
      <c r="N135" s="28"/>
      <c r="O135" s="28" t="s">
        <v>548</v>
      </c>
      <c r="P135" s="28" t="s">
        <v>548</v>
      </c>
      <c r="Q135" s="13" t="s">
        <v>82</v>
      </c>
    </row>
    <row r="136" spans="1:17" ht="144" x14ac:dyDescent="0.3">
      <c r="A136" s="96">
        <v>121</v>
      </c>
      <c r="B136" s="49" t="s">
        <v>331</v>
      </c>
      <c r="C136" s="49"/>
      <c r="D136" s="49"/>
      <c r="E136" s="49"/>
      <c r="F136" s="32" t="s">
        <v>350</v>
      </c>
      <c r="G136" s="28" t="s">
        <v>17</v>
      </c>
      <c r="H136" s="13" t="s">
        <v>85</v>
      </c>
      <c r="I136" s="28" t="s">
        <v>550</v>
      </c>
      <c r="J136" s="28"/>
      <c r="K136" s="13" t="s">
        <v>82</v>
      </c>
      <c r="L136" s="28"/>
      <c r="M136" s="28"/>
      <c r="N136" s="28"/>
      <c r="O136" s="28" t="s">
        <v>548</v>
      </c>
      <c r="P136" s="28" t="s">
        <v>548</v>
      </c>
      <c r="Q136" s="13" t="s">
        <v>82</v>
      </c>
    </row>
    <row r="137" spans="1:17" ht="28.8" x14ac:dyDescent="0.3">
      <c r="A137" s="96">
        <v>122</v>
      </c>
      <c r="B137" s="49" t="s">
        <v>331</v>
      </c>
      <c r="C137" s="49"/>
      <c r="D137" s="49"/>
      <c r="E137" s="49"/>
      <c r="F137" s="32" t="s">
        <v>353</v>
      </c>
      <c r="G137" s="28" t="s">
        <v>101</v>
      </c>
      <c r="H137" s="13" t="s">
        <v>85</v>
      </c>
      <c r="I137" s="28" t="s">
        <v>354</v>
      </c>
      <c r="J137" s="28"/>
      <c r="K137" s="13" t="s">
        <v>82</v>
      </c>
      <c r="L137" s="28"/>
      <c r="M137" s="28"/>
      <c r="N137" s="28"/>
      <c r="O137" s="28" t="s">
        <v>548</v>
      </c>
      <c r="P137" s="28" t="s">
        <v>548</v>
      </c>
      <c r="Q137" s="13" t="s">
        <v>82</v>
      </c>
    </row>
    <row r="138" spans="1:17" ht="57.6" x14ac:dyDescent="0.3">
      <c r="A138" s="96">
        <v>123</v>
      </c>
      <c r="B138" s="49" t="s">
        <v>331</v>
      </c>
      <c r="C138" s="49"/>
      <c r="D138" s="49"/>
      <c r="E138" s="49"/>
      <c r="F138" s="32" t="s">
        <v>355</v>
      </c>
      <c r="G138" s="28" t="s">
        <v>101</v>
      </c>
      <c r="H138" s="13" t="s">
        <v>85</v>
      </c>
      <c r="I138" s="28" t="s">
        <v>356</v>
      </c>
      <c r="J138" s="28"/>
      <c r="K138" s="13" t="s">
        <v>82</v>
      </c>
      <c r="L138" s="28"/>
      <c r="M138" s="28"/>
      <c r="N138" s="28"/>
      <c r="O138" s="28" t="s">
        <v>548</v>
      </c>
      <c r="P138" s="28" t="s">
        <v>548</v>
      </c>
      <c r="Q138" s="13" t="s">
        <v>82</v>
      </c>
    </row>
    <row r="139" spans="1:17" ht="57.6" x14ac:dyDescent="0.3">
      <c r="A139" s="96">
        <v>124</v>
      </c>
      <c r="B139" s="49" t="s">
        <v>331</v>
      </c>
      <c r="C139" s="49"/>
      <c r="D139" s="49"/>
      <c r="E139" s="49"/>
      <c r="F139" s="32" t="s">
        <v>357</v>
      </c>
      <c r="G139" s="28" t="s">
        <v>101</v>
      </c>
      <c r="H139" s="13" t="s">
        <v>85</v>
      </c>
      <c r="I139" s="28" t="s">
        <v>358</v>
      </c>
      <c r="J139" s="28"/>
      <c r="K139" s="13" t="s">
        <v>82</v>
      </c>
      <c r="L139" s="13" t="s">
        <v>82</v>
      </c>
      <c r="M139" s="28"/>
      <c r="N139" s="59" t="s">
        <v>291</v>
      </c>
      <c r="O139" s="28" t="s">
        <v>548</v>
      </c>
      <c r="P139" s="28" t="s">
        <v>548</v>
      </c>
      <c r="Q139" s="13" t="s">
        <v>82</v>
      </c>
    </row>
    <row r="140" spans="1:17" ht="100.8" x14ac:dyDescent="0.3">
      <c r="A140" s="96">
        <v>125</v>
      </c>
      <c r="B140" s="49" t="s">
        <v>331</v>
      </c>
      <c r="C140" s="49"/>
      <c r="D140" s="49"/>
      <c r="E140" s="49"/>
      <c r="F140" s="32" t="s">
        <v>359</v>
      </c>
      <c r="G140" s="28" t="s">
        <v>101</v>
      </c>
      <c r="H140" s="13" t="s">
        <v>85</v>
      </c>
      <c r="I140" s="28" t="s">
        <v>360</v>
      </c>
      <c r="J140" s="28"/>
      <c r="K140" s="13" t="s">
        <v>82</v>
      </c>
      <c r="L140" s="28"/>
      <c r="M140" s="28"/>
      <c r="N140" s="28"/>
      <c r="O140" s="28" t="s">
        <v>548</v>
      </c>
      <c r="P140" s="28" t="s">
        <v>548</v>
      </c>
      <c r="Q140" s="13" t="s">
        <v>82</v>
      </c>
    </row>
    <row r="141" spans="1:17" ht="86.4" x14ac:dyDescent="0.3">
      <c r="A141" s="96">
        <v>126</v>
      </c>
      <c r="B141" s="49" t="s">
        <v>331</v>
      </c>
      <c r="C141" s="49"/>
      <c r="D141" s="49"/>
      <c r="E141" s="49"/>
      <c r="F141" s="32" t="s">
        <v>361</v>
      </c>
      <c r="G141" s="28" t="s">
        <v>125</v>
      </c>
      <c r="H141" s="13" t="s">
        <v>85</v>
      </c>
      <c r="I141" s="28" t="s">
        <v>362</v>
      </c>
      <c r="J141" s="28"/>
      <c r="K141" s="13" t="s">
        <v>82</v>
      </c>
      <c r="L141" s="28"/>
      <c r="M141" s="28"/>
      <c r="N141" s="28"/>
      <c r="O141" s="28" t="s">
        <v>548</v>
      </c>
      <c r="P141" s="28" t="s">
        <v>548</v>
      </c>
      <c r="Q141" s="13" t="s">
        <v>82</v>
      </c>
    </row>
    <row r="142" spans="1:17" ht="100.8" x14ac:dyDescent="0.3">
      <c r="A142" s="96">
        <v>127</v>
      </c>
      <c r="B142" s="49" t="s">
        <v>331</v>
      </c>
      <c r="C142" s="49"/>
      <c r="D142" s="49"/>
      <c r="E142" s="49"/>
      <c r="F142" s="32" t="s">
        <v>88</v>
      </c>
      <c r="G142" s="28" t="s">
        <v>17</v>
      </c>
      <c r="H142" s="13" t="s">
        <v>85</v>
      </c>
      <c r="I142" s="28" t="s">
        <v>363</v>
      </c>
      <c r="J142" s="28"/>
      <c r="K142" s="13" t="s">
        <v>82</v>
      </c>
      <c r="L142" s="28"/>
      <c r="M142" s="28"/>
      <c r="N142" s="28"/>
      <c r="O142" s="28"/>
      <c r="P142" s="28"/>
      <c r="Q142" s="13" t="s">
        <v>82</v>
      </c>
    </row>
    <row r="143" spans="1:17" ht="28.8" x14ac:dyDescent="0.3">
      <c r="A143" s="96">
        <v>128</v>
      </c>
      <c r="B143" s="49" t="s">
        <v>331</v>
      </c>
      <c r="C143" s="49"/>
      <c r="D143" s="49"/>
      <c r="E143" s="49"/>
      <c r="F143" s="32" t="s">
        <v>365</v>
      </c>
      <c r="G143" s="28" t="s">
        <v>101</v>
      </c>
      <c r="H143" s="13" t="s">
        <v>85</v>
      </c>
      <c r="I143" s="28" t="s">
        <v>366</v>
      </c>
      <c r="J143" s="28"/>
      <c r="K143" s="13" t="s">
        <v>82</v>
      </c>
      <c r="L143" s="13" t="s">
        <v>82</v>
      </c>
      <c r="M143" s="28"/>
      <c r="N143" s="59" t="s">
        <v>367</v>
      </c>
      <c r="O143" s="28" t="s">
        <v>548</v>
      </c>
      <c r="P143" s="28" t="s">
        <v>548</v>
      </c>
      <c r="Q143" s="13" t="s">
        <v>82</v>
      </c>
    </row>
    <row r="144" spans="1:17" ht="158.4" x14ac:dyDescent="0.3">
      <c r="A144" s="96">
        <v>129</v>
      </c>
      <c r="B144" s="49" t="s">
        <v>331</v>
      </c>
      <c r="C144" s="49"/>
      <c r="D144" s="49"/>
      <c r="E144" s="49"/>
      <c r="F144" s="32" t="s">
        <v>368</v>
      </c>
      <c r="G144" s="28" t="s">
        <v>17</v>
      </c>
      <c r="H144" s="13" t="s">
        <v>85</v>
      </c>
      <c r="I144" s="28" t="s">
        <v>369</v>
      </c>
      <c r="J144" s="28"/>
      <c r="K144" s="13" t="s">
        <v>82</v>
      </c>
      <c r="L144" s="28"/>
      <c r="M144" s="28"/>
      <c r="N144" s="28"/>
      <c r="O144" s="28" t="s">
        <v>548</v>
      </c>
      <c r="P144" s="28" t="s">
        <v>548</v>
      </c>
      <c r="Q144" s="13" t="s">
        <v>82</v>
      </c>
    </row>
    <row r="145" spans="1:17" ht="144" x14ac:dyDescent="0.3">
      <c r="A145" s="96">
        <v>130</v>
      </c>
      <c r="B145" s="49" t="s">
        <v>331</v>
      </c>
      <c r="C145" s="49"/>
      <c r="D145" s="49"/>
      <c r="E145" s="49"/>
      <c r="F145" s="32" t="s">
        <v>136</v>
      </c>
      <c r="G145" s="28" t="s">
        <v>17</v>
      </c>
      <c r="H145" s="13" t="s">
        <v>85</v>
      </c>
      <c r="I145" s="28" t="s">
        <v>371</v>
      </c>
      <c r="J145" s="28"/>
      <c r="K145" s="13" t="s">
        <v>82</v>
      </c>
      <c r="L145" s="28"/>
      <c r="M145" s="28"/>
      <c r="N145" s="28"/>
      <c r="O145" s="28"/>
      <c r="P145" s="28"/>
      <c r="Q145" s="13" t="s">
        <v>82</v>
      </c>
    </row>
    <row r="146" spans="1:17" ht="72" x14ac:dyDescent="0.3">
      <c r="A146" s="96">
        <v>131</v>
      </c>
      <c r="B146" s="49" t="s">
        <v>331</v>
      </c>
      <c r="C146" s="49"/>
      <c r="D146" s="49"/>
      <c r="E146" s="49"/>
      <c r="F146" s="32" t="s">
        <v>372</v>
      </c>
      <c r="G146" s="28" t="s">
        <v>101</v>
      </c>
      <c r="H146" s="13" t="s">
        <v>85</v>
      </c>
      <c r="I146" s="28" t="s">
        <v>373</v>
      </c>
      <c r="J146" s="28"/>
      <c r="K146" s="13" t="s">
        <v>82</v>
      </c>
      <c r="L146" s="13" t="s">
        <v>82</v>
      </c>
      <c r="M146" s="28"/>
      <c r="N146" s="59" t="s">
        <v>374</v>
      </c>
      <c r="O146" s="28" t="s">
        <v>548</v>
      </c>
      <c r="P146" s="28" t="s">
        <v>548</v>
      </c>
      <c r="Q146" s="13" t="s">
        <v>82</v>
      </c>
    </row>
    <row r="147" spans="1:17" ht="57.6" x14ac:dyDescent="0.3">
      <c r="A147" s="96">
        <v>132</v>
      </c>
      <c r="B147" s="49" t="s">
        <v>331</v>
      </c>
      <c r="C147" s="49"/>
      <c r="D147" s="49"/>
      <c r="E147" s="49"/>
      <c r="F147" s="32" t="s">
        <v>138</v>
      </c>
      <c r="G147" s="28" t="s">
        <v>17</v>
      </c>
      <c r="H147" s="13" t="s">
        <v>85</v>
      </c>
      <c r="I147" s="28" t="s">
        <v>375</v>
      </c>
      <c r="J147" s="28"/>
      <c r="K147" s="13" t="s">
        <v>82</v>
      </c>
      <c r="L147" s="28"/>
      <c r="M147" s="28"/>
      <c r="N147" s="28"/>
      <c r="O147" s="28"/>
      <c r="P147" s="28"/>
      <c r="Q147" s="13" t="s">
        <v>82</v>
      </c>
    </row>
    <row r="148" spans="1:17" ht="28.8" x14ac:dyDescent="0.3">
      <c r="A148" s="96">
        <v>133</v>
      </c>
      <c r="B148" s="49" t="s">
        <v>331</v>
      </c>
      <c r="C148" s="49"/>
      <c r="D148" s="49"/>
      <c r="E148" s="49"/>
      <c r="F148" s="32" t="s">
        <v>194</v>
      </c>
      <c r="G148" s="28" t="s">
        <v>81</v>
      </c>
      <c r="H148" s="13" t="s">
        <v>85</v>
      </c>
      <c r="I148" s="28" t="s">
        <v>376</v>
      </c>
      <c r="J148" s="28"/>
      <c r="K148" s="13" t="s">
        <v>82</v>
      </c>
      <c r="L148" s="28"/>
      <c r="M148" s="28"/>
      <c r="N148" s="28"/>
      <c r="O148" s="28"/>
      <c r="P148" s="28"/>
      <c r="Q148" s="13" t="s">
        <v>82</v>
      </c>
    </row>
    <row r="149" spans="1:17" ht="172.8" x14ac:dyDescent="0.3">
      <c r="A149" s="96">
        <v>134</v>
      </c>
      <c r="B149" s="49" t="s">
        <v>331</v>
      </c>
      <c r="C149" s="49"/>
      <c r="D149" s="49"/>
      <c r="E149" s="49"/>
      <c r="F149" s="32" t="s">
        <v>377</v>
      </c>
      <c r="G149" s="28" t="s">
        <v>101</v>
      </c>
      <c r="H149" s="13" t="s">
        <v>85</v>
      </c>
      <c r="I149" s="28" t="s">
        <v>378</v>
      </c>
      <c r="J149" s="28"/>
      <c r="K149" s="13" t="s">
        <v>82</v>
      </c>
      <c r="L149" s="13" t="s">
        <v>82</v>
      </c>
      <c r="M149" s="28"/>
      <c r="N149" s="59" t="s">
        <v>380</v>
      </c>
      <c r="O149" s="28" t="s">
        <v>548</v>
      </c>
      <c r="P149" s="28" t="s">
        <v>548</v>
      </c>
      <c r="Q149" s="13" t="s">
        <v>82</v>
      </c>
    </row>
    <row r="150" spans="1:17" ht="72" x14ac:dyDescent="0.3">
      <c r="A150" s="96">
        <v>135</v>
      </c>
      <c r="B150" s="49" t="s">
        <v>331</v>
      </c>
      <c r="C150" s="49"/>
      <c r="D150" s="49"/>
      <c r="E150" s="49"/>
      <c r="F150" s="32" t="s">
        <v>381</v>
      </c>
      <c r="G150" s="28" t="s">
        <v>125</v>
      </c>
      <c r="H150" s="13" t="s">
        <v>85</v>
      </c>
      <c r="I150" s="28" t="s">
        <v>382</v>
      </c>
      <c r="J150" s="28"/>
      <c r="K150" s="13" t="s">
        <v>82</v>
      </c>
      <c r="L150" s="28"/>
      <c r="M150" s="28"/>
      <c r="N150" s="28"/>
      <c r="O150" s="28" t="s">
        <v>548</v>
      </c>
      <c r="P150" s="28" t="s">
        <v>548</v>
      </c>
      <c r="Q150" s="13" t="s">
        <v>82</v>
      </c>
    </row>
    <row r="151" spans="1:17" ht="100.8" x14ac:dyDescent="0.3">
      <c r="A151" s="96">
        <v>136</v>
      </c>
      <c r="B151" s="49" t="s">
        <v>331</v>
      </c>
      <c r="C151" s="49"/>
      <c r="D151" s="49"/>
      <c r="E151" s="49"/>
      <c r="F151" s="32" t="s">
        <v>383</v>
      </c>
      <c r="G151" s="28" t="s">
        <v>17</v>
      </c>
      <c r="H151" s="13" t="s">
        <v>85</v>
      </c>
      <c r="I151" s="28" t="s">
        <v>384</v>
      </c>
      <c r="J151" s="28"/>
      <c r="K151" s="13" t="s">
        <v>82</v>
      </c>
      <c r="L151" s="28"/>
      <c r="M151" s="28"/>
      <c r="N151" s="28"/>
      <c r="O151" s="28" t="s">
        <v>548</v>
      </c>
      <c r="P151" s="28" t="s">
        <v>548</v>
      </c>
      <c r="Q151" s="13" t="s">
        <v>82</v>
      </c>
    </row>
    <row r="152" spans="1:17" ht="43.2" x14ac:dyDescent="0.3">
      <c r="A152" s="96">
        <v>137</v>
      </c>
      <c r="B152" s="49" t="s">
        <v>331</v>
      </c>
      <c r="C152" s="49"/>
      <c r="D152" s="49"/>
      <c r="E152" s="49"/>
      <c r="F152" s="32" t="s">
        <v>282</v>
      </c>
      <c r="G152" s="28" t="s">
        <v>152</v>
      </c>
      <c r="H152" s="13" t="s">
        <v>85</v>
      </c>
      <c r="I152" s="28" t="s">
        <v>386</v>
      </c>
      <c r="J152" s="28"/>
      <c r="K152" s="13" t="s">
        <v>82</v>
      </c>
      <c r="L152" s="28"/>
      <c r="M152" s="28"/>
      <c r="N152" s="28"/>
      <c r="O152" s="28"/>
      <c r="P152" s="28"/>
      <c r="Q152" s="13" t="s">
        <v>82</v>
      </c>
    </row>
    <row r="153" spans="1:17" ht="28.8" x14ac:dyDescent="0.3">
      <c r="A153" s="96">
        <v>138</v>
      </c>
      <c r="B153" s="49" t="s">
        <v>331</v>
      </c>
      <c r="C153" s="49"/>
      <c r="D153" s="49"/>
      <c r="E153" s="49"/>
      <c r="F153" s="32" t="s">
        <v>387</v>
      </c>
      <c r="G153" s="28" t="s">
        <v>125</v>
      </c>
      <c r="H153" s="13" t="s">
        <v>85</v>
      </c>
      <c r="I153" s="28" t="s">
        <v>388</v>
      </c>
      <c r="J153" s="28"/>
      <c r="K153" s="13" t="s">
        <v>82</v>
      </c>
      <c r="L153" s="28"/>
      <c r="M153" s="28"/>
      <c r="N153" s="28"/>
      <c r="O153" s="28" t="s">
        <v>548</v>
      </c>
      <c r="P153" s="28" t="s">
        <v>548</v>
      </c>
      <c r="Q153" s="13" t="s">
        <v>82</v>
      </c>
    </row>
    <row r="154" spans="1:17" ht="28.8" x14ac:dyDescent="0.3">
      <c r="A154" s="96">
        <v>139</v>
      </c>
      <c r="B154" s="49" t="s">
        <v>331</v>
      </c>
      <c r="C154" s="49"/>
      <c r="D154" s="49"/>
      <c r="E154" s="49"/>
      <c r="F154" s="32" t="s">
        <v>389</v>
      </c>
      <c r="G154" s="28" t="s">
        <v>125</v>
      </c>
      <c r="H154" s="13" t="s">
        <v>85</v>
      </c>
      <c r="I154" s="28" t="s">
        <v>390</v>
      </c>
      <c r="J154" s="28"/>
      <c r="K154" s="13" t="s">
        <v>82</v>
      </c>
      <c r="L154" s="28"/>
      <c r="M154" s="28"/>
      <c r="N154" s="28"/>
      <c r="O154" s="28" t="s">
        <v>548</v>
      </c>
      <c r="P154" s="28" t="s">
        <v>548</v>
      </c>
      <c r="Q154" s="13" t="s">
        <v>82</v>
      </c>
    </row>
    <row r="155" spans="1:17" ht="129.6" x14ac:dyDescent="0.3">
      <c r="A155" s="96">
        <v>140</v>
      </c>
      <c r="B155" s="49" t="s">
        <v>331</v>
      </c>
      <c r="C155" s="49"/>
      <c r="D155" s="49"/>
      <c r="E155" s="49"/>
      <c r="F155" s="32" t="s">
        <v>391</v>
      </c>
      <c r="G155" s="28" t="s">
        <v>101</v>
      </c>
      <c r="H155" s="13" t="s">
        <v>85</v>
      </c>
      <c r="I155" s="28" t="s">
        <v>551</v>
      </c>
      <c r="J155" s="28"/>
      <c r="K155" s="13" t="s">
        <v>82</v>
      </c>
      <c r="L155" s="13" t="s">
        <v>82</v>
      </c>
      <c r="M155" s="28"/>
      <c r="N155" s="59" t="s">
        <v>394</v>
      </c>
      <c r="O155" s="28" t="s">
        <v>548</v>
      </c>
      <c r="P155" s="28" t="s">
        <v>548</v>
      </c>
      <c r="Q155" s="13" t="s">
        <v>82</v>
      </c>
    </row>
    <row r="156" spans="1:17" ht="244.8" x14ac:dyDescent="0.3">
      <c r="A156" s="96">
        <v>141</v>
      </c>
      <c r="B156" s="49" t="s">
        <v>331</v>
      </c>
      <c r="C156" s="49"/>
      <c r="D156" s="49"/>
      <c r="E156" s="49"/>
      <c r="F156" s="32" t="s">
        <v>395</v>
      </c>
      <c r="G156" s="28" t="s">
        <v>125</v>
      </c>
      <c r="H156" s="13" t="s">
        <v>85</v>
      </c>
      <c r="I156" s="28" t="s">
        <v>552</v>
      </c>
      <c r="J156" s="28"/>
      <c r="K156" s="13" t="s">
        <v>82</v>
      </c>
      <c r="L156" s="28"/>
      <c r="M156" s="28"/>
      <c r="N156" s="28"/>
      <c r="O156" s="28" t="s">
        <v>548</v>
      </c>
      <c r="P156" s="28" t="s">
        <v>548</v>
      </c>
      <c r="Q156" s="13" t="s">
        <v>82</v>
      </c>
    </row>
    <row r="157" spans="1:17" ht="100.8" x14ac:dyDescent="0.3">
      <c r="A157" s="96">
        <v>142</v>
      </c>
      <c r="B157" s="49" t="s">
        <v>331</v>
      </c>
      <c r="C157" s="49"/>
      <c r="D157" s="49"/>
      <c r="E157" s="49"/>
      <c r="F157" s="32" t="s">
        <v>192</v>
      </c>
      <c r="G157" s="28" t="s">
        <v>101</v>
      </c>
      <c r="H157" s="13" t="s">
        <v>85</v>
      </c>
      <c r="I157" s="28" t="s">
        <v>193</v>
      </c>
      <c r="J157" s="28"/>
      <c r="K157" s="13" t="s">
        <v>82</v>
      </c>
      <c r="L157" s="28"/>
      <c r="M157" s="28"/>
      <c r="N157" s="28"/>
      <c r="O157" s="28"/>
      <c r="P157" s="28"/>
      <c r="Q157" s="13" t="s">
        <v>82</v>
      </c>
    </row>
    <row r="158" spans="1:17" ht="129.6" x14ac:dyDescent="0.3">
      <c r="A158" s="96">
        <v>143</v>
      </c>
      <c r="B158" s="32" t="s">
        <v>324</v>
      </c>
      <c r="C158" s="32"/>
      <c r="D158" s="32"/>
      <c r="E158" s="32"/>
      <c r="F158" s="32" t="s">
        <v>325</v>
      </c>
      <c r="G158" s="32" t="s">
        <v>101</v>
      </c>
      <c r="H158" s="13" t="s">
        <v>82</v>
      </c>
      <c r="I158" s="32" t="s">
        <v>326</v>
      </c>
      <c r="J158" s="32"/>
      <c r="K158" s="13" t="s">
        <v>82</v>
      </c>
      <c r="L158" s="28"/>
      <c r="M158" s="28"/>
      <c r="N158" s="28"/>
      <c r="O158" s="28" t="s">
        <v>548</v>
      </c>
      <c r="P158" s="28" t="s">
        <v>548</v>
      </c>
      <c r="Q158" s="13" t="s">
        <v>82</v>
      </c>
    </row>
    <row r="159" spans="1:17" ht="100.8" x14ac:dyDescent="0.3">
      <c r="A159" s="96">
        <v>144</v>
      </c>
      <c r="B159" s="32" t="s">
        <v>324</v>
      </c>
      <c r="C159" s="32"/>
      <c r="D159" s="32"/>
      <c r="E159" s="32"/>
      <c r="F159" s="32" t="s">
        <v>88</v>
      </c>
      <c r="G159" s="32" t="s">
        <v>17</v>
      </c>
      <c r="H159" s="13" t="s">
        <v>85</v>
      </c>
      <c r="I159" s="32" t="s">
        <v>327</v>
      </c>
      <c r="J159" s="32"/>
      <c r="K159" s="13" t="s">
        <v>82</v>
      </c>
      <c r="L159" s="28"/>
      <c r="M159" s="28"/>
      <c r="N159" s="28"/>
      <c r="O159" s="28"/>
      <c r="P159" s="28"/>
      <c r="Q159" s="13" t="s">
        <v>82</v>
      </c>
    </row>
    <row r="160" spans="1:17" ht="72" x14ac:dyDescent="0.3">
      <c r="A160" s="96">
        <v>145</v>
      </c>
      <c r="B160" s="32" t="s">
        <v>324</v>
      </c>
      <c r="C160" s="32"/>
      <c r="D160" s="32"/>
      <c r="E160" s="32"/>
      <c r="F160" s="32" t="s">
        <v>138</v>
      </c>
      <c r="G160" s="32" t="s">
        <v>17</v>
      </c>
      <c r="H160" s="13" t="s">
        <v>85</v>
      </c>
      <c r="I160" s="32" t="s">
        <v>328</v>
      </c>
      <c r="J160" s="32"/>
      <c r="K160" s="13" t="s">
        <v>82</v>
      </c>
      <c r="L160" s="28"/>
      <c r="M160" s="28"/>
      <c r="N160" s="28"/>
      <c r="O160" s="28"/>
      <c r="P160" s="28"/>
      <c r="Q160" s="13" t="s">
        <v>82</v>
      </c>
    </row>
    <row r="161" spans="1:17" ht="72" x14ac:dyDescent="0.3">
      <c r="A161" s="96">
        <v>146</v>
      </c>
      <c r="B161" s="32" t="s">
        <v>324</v>
      </c>
      <c r="C161" s="32"/>
      <c r="D161" s="32"/>
      <c r="E161" s="32"/>
      <c r="F161" s="32" t="s">
        <v>329</v>
      </c>
      <c r="G161" s="32" t="s">
        <v>125</v>
      </c>
      <c r="H161" s="13" t="s">
        <v>85</v>
      </c>
      <c r="I161" s="32" t="s">
        <v>330</v>
      </c>
      <c r="J161" s="32"/>
      <c r="K161" s="13" t="s">
        <v>82</v>
      </c>
      <c r="L161" s="28"/>
      <c r="M161" s="28"/>
      <c r="N161" s="28"/>
      <c r="O161" s="28" t="s">
        <v>548</v>
      </c>
      <c r="P161" s="28" t="s">
        <v>548</v>
      </c>
      <c r="Q161" s="13" t="s">
        <v>82</v>
      </c>
    </row>
    <row r="162" spans="1:17" x14ac:dyDescent="0.3">
      <c r="A162" s="96">
        <v>147</v>
      </c>
      <c r="B162" s="49" t="s">
        <v>398</v>
      </c>
      <c r="C162" s="49"/>
      <c r="D162" s="49"/>
      <c r="E162" s="49"/>
      <c r="F162" s="32" t="s">
        <v>399</v>
      </c>
      <c r="G162" s="28" t="s">
        <v>101</v>
      </c>
      <c r="H162" s="13" t="s">
        <v>85</v>
      </c>
      <c r="I162" s="28"/>
      <c r="J162" s="28"/>
      <c r="K162" s="13" t="s">
        <v>82</v>
      </c>
      <c r="L162" s="13" t="s">
        <v>82</v>
      </c>
      <c r="M162" s="28"/>
      <c r="N162" s="28" t="s">
        <v>400</v>
      </c>
      <c r="O162" s="28" t="s">
        <v>548</v>
      </c>
      <c r="P162" s="28" t="s">
        <v>548</v>
      </c>
      <c r="Q162" s="13" t="s">
        <v>82</v>
      </c>
    </row>
    <row r="163" spans="1:17" ht="43.2" x14ac:dyDescent="0.3">
      <c r="A163" s="96">
        <v>148</v>
      </c>
      <c r="B163" s="49" t="s">
        <v>398</v>
      </c>
      <c r="C163" s="49"/>
      <c r="D163" s="49"/>
      <c r="E163" s="49"/>
      <c r="F163" s="32" t="s">
        <v>401</v>
      </c>
      <c r="G163" s="28" t="s">
        <v>152</v>
      </c>
      <c r="H163" s="13" t="s">
        <v>85</v>
      </c>
      <c r="I163" s="28" t="s">
        <v>402</v>
      </c>
      <c r="J163" s="28"/>
      <c r="K163" s="13" t="s">
        <v>82</v>
      </c>
      <c r="L163" s="28"/>
      <c r="M163" s="28"/>
      <c r="N163" s="28"/>
      <c r="O163" s="28" t="s">
        <v>548</v>
      </c>
      <c r="P163" s="28" t="s">
        <v>548</v>
      </c>
      <c r="Q163" s="13" t="s">
        <v>82</v>
      </c>
    </row>
    <row r="164" spans="1:17" x14ac:dyDescent="0.3">
      <c r="A164" s="96">
        <v>149</v>
      </c>
      <c r="B164" s="49" t="s">
        <v>403</v>
      </c>
      <c r="C164" s="49"/>
      <c r="D164" s="49"/>
      <c r="E164" s="49"/>
      <c r="F164" s="32" t="s">
        <v>404</v>
      </c>
      <c r="G164" s="28" t="s">
        <v>152</v>
      </c>
      <c r="H164" s="13" t="s">
        <v>85</v>
      </c>
      <c r="I164" s="28"/>
      <c r="J164" s="28"/>
      <c r="K164" s="13" t="s">
        <v>82</v>
      </c>
      <c r="L164" s="28"/>
      <c r="M164" s="28"/>
      <c r="N164" s="28"/>
      <c r="O164" s="28" t="s">
        <v>548</v>
      </c>
      <c r="P164" s="28" t="s">
        <v>548</v>
      </c>
      <c r="Q164" s="13" t="s">
        <v>82</v>
      </c>
    </row>
    <row r="165" spans="1:17" x14ac:dyDescent="0.3">
      <c r="A165" s="96">
        <v>150</v>
      </c>
      <c r="B165" s="49" t="s">
        <v>403</v>
      </c>
      <c r="C165" s="49"/>
      <c r="D165" s="49"/>
      <c r="E165" s="49"/>
      <c r="F165" s="32" t="s">
        <v>405</v>
      </c>
      <c r="G165" s="28" t="s">
        <v>101</v>
      </c>
      <c r="H165" s="13" t="s">
        <v>85</v>
      </c>
      <c r="I165" s="28"/>
      <c r="J165" s="28"/>
      <c r="K165" s="13" t="s">
        <v>82</v>
      </c>
      <c r="L165" s="28"/>
      <c r="M165" s="28"/>
      <c r="N165" s="28"/>
      <c r="O165" s="28" t="s">
        <v>548</v>
      </c>
      <c r="P165" s="28" t="s">
        <v>548</v>
      </c>
      <c r="Q165" s="13" t="s">
        <v>82</v>
      </c>
    </row>
    <row r="166" spans="1:17" x14ac:dyDescent="0.3">
      <c r="A166" s="96">
        <v>151</v>
      </c>
      <c r="B166" s="49" t="s">
        <v>403</v>
      </c>
      <c r="C166" s="49"/>
      <c r="D166" s="49"/>
      <c r="E166" s="49"/>
      <c r="F166" s="32" t="s">
        <v>406</v>
      </c>
      <c r="G166" s="28" t="s">
        <v>101</v>
      </c>
      <c r="H166" s="13" t="s">
        <v>85</v>
      </c>
      <c r="I166" s="28"/>
      <c r="J166" s="28"/>
      <c r="K166" s="13" t="s">
        <v>82</v>
      </c>
      <c r="L166" s="28"/>
      <c r="M166" s="28"/>
      <c r="N166" s="28"/>
      <c r="O166" s="28" t="s">
        <v>548</v>
      </c>
      <c r="P166" s="28" t="s">
        <v>548</v>
      </c>
      <c r="Q166" s="13" t="s">
        <v>82</v>
      </c>
    </row>
    <row r="167" spans="1:17" x14ac:dyDescent="0.3">
      <c r="A167" s="96">
        <v>152</v>
      </c>
      <c r="B167" s="49" t="s">
        <v>403</v>
      </c>
      <c r="C167" s="49"/>
      <c r="D167" s="49"/>
      <c r="E167" s="49"/>
      <c r="F167" s="32" t="s">
        <v>407</v>
      </c>
      <c r="G167" s="28" t="s">
        <v>101</v>
      </c>
      <c r="H167" s="13" t="s">
        <v>85</v>
      </c>
      <c r="I167" s="28"/>
      <c r="J167" s="28"/>
      <c r="K167" s="13" t="s">
        <v>82</v>
      </c>
      <c r="L167" s="28"/>
      <c r="M167" s="28"/>
      <c r="N167" s="28"/>
      <c r="O167" s="28" t="s">
        <v>548</v>
      </c>
      <c r="P167" s="28" t="s">
        <v>548</v>
      </c>
      <c r="Q167" s="13" t="s">
        <v>82</v>
      </c>
    </row>
    <row r="168" spans="1:17" x14ac:dyDescent="0.3">
      <c r="A168" s="96">
        <v>153</v>
      </c>
      <c r="B168" s="49" t="s">
        <v>403</v>
      </c>
      <c r="C168" s="49"/>
      <c r="D168" s="49"/>
      <c r="E168" s="49"/>
      <c r="F168" s="32" t="s">
        <v>408</v>
      </c>
      <c r="G168" s="28" t="s">
        <v>17</v>
      </c>
      <c r="H168" s="13" t="s">
        <v>85</v>
      </c>
      <c r="I168" s="28"/>
      <c r="J168" s="28"/>
      <c r="K168" s="13" t="s">
        <v>82</v>
      </c>
      <c r="L168" s="28"/>
      <c r="M168" s="28"/>
      <c r="N168" s="28"/>
      <c r="O168" s="28" t="s">
        <v>548</v>
      </c>
      <c r="P168" s="28" t="s">
        <v>548</v>
      </c>
      <c r="Q168" s="13" t="s">
        <v>82</v>
      </c>
    </row>
    <row r="169" spans="1:17" x14ac:dyDescent="0.3">
      <c r="A169" s="96">
        <v>154</v>
      </c>
      <c r="B169" s="49" t="s">
        <v>403</v>
      </c>
      <c r="C169" s="49"/>
      <c r="D169" s="49"/>
      <c r="E169" s="49"/>
      <c r="F169" s="32" t="s">
        <v>409</v>
      </c>
      <c r="G169" s="28" t="s">
        <v>17</v>
      </c>
      <c r="H169" s="13" t="s">
        <v>85</v>
      </c>
      <c r="I169" s="28"/>
      <c r="J169" s="28"/>
      <c r="K169" s="13" t="s">
        <v>82</v>
      </c>
      <c r="L169" s="28"/>
      <c r="M169" s="28"/>
      <c r="N169" s="28"/>
      <c r="O169" s="28" t="s">
        <v>548</v>
      </c>
      <c r="P169" s="28" t="s">
        <v>548</v>
      </c>
      <c r="Q169" s="13" t="s">
        <v>82</v>
      </c>
    </row>
    <row r="170" spans="1:17" x14ac:dyDescent="0.3">
      <c r="A170" s="96">
        <v>155</v>
      </c>
      <c r="B170" s="49" t="s">
        <v>403</v>
      </c>
      <c r="C170" s="49"/>
      <c r="D170" s="49"/>
      <c r="E170" s="49"/>
      <c r="F170" s="32" t="s">
        <v>122</v>
      </c>
      <c r="G170" s="28" t="s">
        <v>81</v>
      </c>
      <c r="H170" s="13" t="s">
        <v>85</v>
      </c>
      <c r="I170" s="28"/>
      <c r="J170" s="28"/>
      <c r="K170" s="13" t="s">
        <v>82</v>
      </c>
      <c r="L170" s="28"/>
      <c r="M170" s="28"/>
      <c r="N170" s="28"/>
      <c r="O170" s="28"/>
      <c r="P170" s="28"/>
      <c r="Q170" s="13" t="s">
        <v>82</v>
      </c>
    </row>
    <row r="171" spans="1:17" x14ac:dyDescent="0.3">
      <c r="A171" s="96">
        <v>156</v>
      </c>
      <c r="B171" s="49" t="s">
        <v>403</v>
      </c>
      <c r="C171" s="49"/>
      <c r="D171" s="49"/>
      <c r="E171" s="49"/>
      <c r="F171" s="32" t="s">
        <v>410</v>
      </c>
      <c r="G171" s="28" t="s">
        <v>101</v>
      </c>
      <c r="H171" s="13" t="s">
        <v>85</v>
      </c>
      <c r="I171" s="28"/>
      <c r="J171" s="28"/>
      <c r="K171" s="13" t="s">
        <v>82</v>
      </c>
      <c r="L171" s="28"/>
      <c r="M171" s="28"/>
      <c r="N171" s="28"/>
      <c r="O171" s="28" t="s">
        <v>548</v>
      </c>
      <c r="P171" s="28" t="s">
        <v>548</v>
      </c>
      <c r="Q171" s="13" t="s">
        <v>82</v>
      </c>
    </row>
    <row r="172" spans="1:17" ht="72" x14ac:dyDescent="0.3">
      <c r="A172" s="96">
        <v>157</v>
      </c>
      <c r="B172" s="49" t="s">
        <v>403</v>
      </c>
      <c r="C172" s="49"/>
      <c r="D172" s="49"/>
      <c r="E172" s="49"/>
      <c r="F172" s="32" t="s">
        <v>411</v>
      </c>
      <c r="G172" s="28" t="s">
        <v>101</v>
      </c>
      <c r="H172" s="13" t="s">
        <v>85</v>
      </c>
      <c r="I172" s="28" t="s">
        <v>412</v>
      </c>
      <c r="J172" s="28"/>
      <c r="K172" s="13" t="s">
        <v>82</v>
      </c>
      <c r="L172" s="13" t="s">
        <v>82</v>
      </c>
      <c r="M172" s="28"/>
      <c r="N172" s="60" t="s">
        <v>413</v>
      </c>
      <c r="O172" s="28" t="s">
        <v>548</v>
      </c>
      <c r="P172" s="28" t="s">
        <v>548</v>
      </c>
      <c r="Q172" s="13" t="s">
        <v>82</v>
      </c>
    </row>
    <row r="173" spans="1:17" x14ac:dyDescent="0.3">
      <c r="A173" s="96">
        <v>158</v>
      </c>
      <c r="B173" s="49" t="s">
        <v>403</v>
      </c>
      <c r="C173" s="49"/>
      <c r="D173" s="49"/>
      <c r="E173" s="49"/>
      <c r="F173" s="32" t="s">
        <v>414</v>
      </c>
      <c r="G173" s="28" t="s">
        <v>17</v>
      </c>
      <c r="H173" s="13" t="s">
        <v>85</v>
      </c>
      <c r="I173" s="28"/>
      <c r="J173" s="28"/>
      <c r="K173" s="13" t="s">
        <v>82</v>
      </c>
      <c r="L173" s="28"/>
      <c r="M173" s="28"/>
      <c r="N173" s="28"/>
      <c r="O173" s="28" t="s">
        <v>548</v>
      </c>
      <c r="P173" s="28" t="s">
        <v>548</v>
      </c>
      <c r="Q173" s="13" t="s">
        <v>82</v>
      </c>
    </row>
    <row r="174" spans="1:17" x14ac:dyDescent="0.3">
      <c r="A174" s="96">
        <v>159</v>
      </c>
      <c r="B174" s="49" t="s">
        <v>415</v>
      </c>
      <c r="C174" s="49"/>
      <c r="D174" s="49"/>
      <c r="E174" s="49"/>
      <c r="F174" s="32" t="s">
        <v>416</v>
      </c>
      <c r="G174" s="28" t="s">
        <v>101</v>
      </c>
      <c r="H174" s="13" t="s">
        <v>85</v>
      </c>
      <c r="I174" s="28"/>
      <c r="J174" s="28"/>
      <c r="K174" s="13" t="s">
        <v>82</v>
      </c>
      <c r="L174" s="28"/>
      <c r="M174" s="28"/>
      <c r="N174" s="28"/>
      <c r="O174" s="28" t="s">
        <v>548</v>
      </c>
      <c r="P174" s="28" t="s">
        <v>548</v>
      </c>
      <c r="Q174" s="13" t="s">
        <v>82</v>
      </c>
    </row>
    <row r="175" spans="1:17" x14ac:dyDescent="0.3">
      <c r="A175" s="96">
        <v>160</v>
      </c>
      <c r="B175" s="49" t="s">
        <v>415</v>
      </c>
      <c r="C175" s="49"/>
      <c r="D175" s="49"/>
      <c r="E175" s="49"/>
      <c r="F175" s="32" t="s">
        <v>417</v>
      </c>
      <c r="G175" s="28" t="s">
        <v>101</v>
      </c>
      <c r="H175" s="13" t="s">
        <v>85</v>
      </c>
      <c r="I175" s="28"/>
      <c r="J175" s="28"/>
      <c r="K175" s="13" t="s">
        <v>82</v>
      </c>
      <c r="L175" s="13" t="s">
        <v>82</v>
      </c>
      <c r="M175" s="28"/>
      <c r="N175" s="60" t="s">
        <v>418</v>
      </c>
      <c r="O175" s="28" t="s">
        <v>548</v>
      </c>
      <c r="P175" s="28" t="s">
        <v>548</v>
      </c>
      <c r="Q175" s="13" t="s">
        <v>82</v>
      </c>
    </row>
    <row r="176" spans="1:17" x14ac:dyDescent="0.3">
      <c r="A176" s="96">
        <v>161</v>
      </c>
      <c r="B176" s="49" t="s">
        <v>415</v>
      </c>
      <c r="C176" s="49"/>
      <c r="D176" s="49"/>
      <c r="E176" s="49"/>
      <c r="F176" s="32" t="s">
        <v>335</v>
      </c>
      <c r="G176" s="28" t="s">
        <v>101</v>
      </c>
      <c r="H176" s="13" t="s">
        <v>85</v>
      </c>
      <c r="I176" s="28"/>
      <c r="J176" s="28"/>
      <c r="K176" s="13" t="s">
        <v>82</v>
      </c>
      <c r="L176" s="28"/>
      <c r="M176" s="28"/>
      <c r="N176" s="28"/>
      <c r="O176" s="28" t="s">
        <v>548</v>
      </c>
      <c r="P176" s="28" t="s">
        <v>548</v>
      </c>
      <c r="Q176" s="13" t="s">
        <v>82</v>
      </c>
    </row>
    <row r="177" spans="1:19" ht="72" x14ac:dyDescent="0.3">
      <c r="A177" s="96">
        <v>162</v>
      </c>
      <c r="B177" s="49" t="s">
        <v>415</v>
      </c>
      <c r="C177" s="49"/>
      <c r="D177" s="49"/>
      <c r="E177" s="49"/>
      <c r="F177" s="32" t="s">
        <v>419</v>
      </c>
      <c r="G177" s="28" t="s">
        <v>101</v>
      </c>
      <c r="H177" s="13" t="s">
        <v>85</v>
      </c>
      <c r="I177" s="28" t="s">
        <v>420</v>
      </c>
      <c r="J177" s="28"/>
      <c r="K177" s="13" t="s">
        <v>82</v>
      </c>
      <c r="L177" s="28"/>
      <c r="M177" s="28"/>
      <c r="N177" s="28"/>
      <c r="O177" s="28" t="s">
        <v>548</v>
      </c>
      <c r="P177" s="28" t="s">
        <v>548</v>
      </c>
      <c r="Q177" s="13" t="s">
        <v>82</v>
      </c>
    </row>
    <row r="178" spans="1:19" x14ac:dyDescent="0.3">
      <c r="A178" s="96">
        <v>163</v>
      </c>
      <c r="B178" s="49" t="s">
        <v>415</v>
      </c>
      <c r="C178" s="49"/>
      <c r="D178" s="49"/>
      <c r="E178" s="49"/>
      <c r="F178" s="32" t="s">
        <v>410</v>
      </c>
      <c r="G178" s="28" t="s">
        <v>101</v>
      </c>
      <c r="H178" s="13" t="s">
        <v>85</v>
      </c>
      <c r="I178" s="28"/>
      <c r="J178" s="28"/>
      <c r="K178" s="13" t="s">
        <v>82</v>
      </c>
      <c r="L178" s="28"/>
      <c r="M178" s="28"/>
      <c r="N178" s="28"/>
      <c r="O178" s="28" t="s">
        <v>548</v>
      </c>
      <c r="P178" s="28" t="s">
        <v>548</v>
      </c>
      <c r="Q178" s="13" t="s">
        <v>82</v>
      </c>
    </row>
    <row r="179" spans="1:19" ht="28.8" x14ac:dyDescent="0.3">
      <c r="A179" s="96">
        <v>164</v>
      </c>
      <c r="B179" s="49" t="s">
        <v>459</v>
      </c>
      <c r="C179" s="49"/>
      <c r="D179" s="49"/>
      <c r="E179" s="49"/>
      <c r="F179" s="32" t="s">
        <v>460</v>
      </c>
      <c r="G179" s="28" t="s">
        <v>17</v>
      </c>
      <c r="H179" s="13" t="s">
        <v>85</v>
      </c>
      <c r="I179" s="28"/>
      <c r="J179" s="28"/>
      <c r="K179" s="13" t="s">
        <v>82</v>
      </c>
      <c r="L179" s="28"/>
      <c r="M179" s="28"/>
      <c r="N179" s="28"/>
      <c r="O179" s="28" t="s">
        <v>548</v>
      </c>
      <c r="P179" s="28" t="s">
        <v>548</v>
      </c>
      <c r="Q179" s="13" t="s">
        <v>82</v>
      </c>
    </row>
    <row r="180" spans="1:19" x14ac:dyDescent="0.3">
      <c r="A180" s="96">
        <v>165</v>
      </c>
      <c r="B180" s="49" t="s">
        <v>459</v>
      </c>
      <c r="C180" s="49"/>
      <c r="D180" s="49"/>
      <c r="E180" s="49"/>
      <c r="F180" s="32" t="s">
        <v>461</v>
      </c>
      <c r="G180" s="28" t="s">
        <v>101</v>
      </c>
      <c r="H180" s="13" t="s">
        <v>85</v>
      </c>
      <c r="I180" s="28"/>
      <c r="J180" s="28"/>
      <c r="K180" s="13" t="s">
        <v>82</v>
      </c>
      <c r="L180" s="13" t="s">
        <v>82</v>
      </c>
      <c r="M180" s="28"/>
      <c r="N180" s="59" t="s">
        <v>374</v>
      </c>
      <c r="O180" s="28" t="s">
        <v>548</v>
      </c>
      <c r="P180" s="28" t="s">
        <v>548</v>
      </c>
      <c r="Q180" s="13" t="s">
        <v>82</v>
      </c>
    </row>
    <row r="181" spans="1:19" x14ac:dyDescent="0.3">
      <c r="A181" s="96">
        <v>166</v>
      </c>
      <c r="B181" s="49" t="s">
        <v>459</v>
      </c>
      <c r="C181" s="49"/>
      <c r="D181" s="49"/>
      <c r="E181" s="49"/>
      <c r="F181" s="32" t="s">
        <v>462</v>
      </c>
      <c r="G181" s="28" t="s">
        <v>101</v>
      </c>
      <c r="H181" s="13" t="s">
        <v>85</v>
      </c>
      <c r="I181" s="28"/>
      <c r="J181" s="28"/>
      <c r="K181" s="13" t="s">
        <v>82</v>
      </c>
      <c r="L181" s="13" t="s">
        <v>82</v>
      </c>
      <c r="M181" s="28"/>
      <c r="N181" s="59" t="s">
        <v>463</v>
      </c>
      <c r="O181" s="28" t="s">
        <v>548</v>
      </c>
      <c r="P181" s="28" t="s">
        <v>548</v>
      </c>
      <c r="Q181" s="13" t="s">
        <v>82</v>
      </c>
    </row>
    <row r="182" spans="1:19" x14ac:dyDescent="0.3">
      <c r="A182" s="96">
        <v>167</v>
      </c>
      <c r="B182" s="49" t="s">
        <v>459</v>
      </c>
      <c r="C182" s="49"/>
      <c r="D182" s="49"/>
      <c r="E182" s="49"/>
      <c r="F182" s="32" t="s">
        <v>464</v>
      </c>
      <c r="G182" s="28" t="s">
        <v>101</v>
      </c>
      <c r="H182" s="13" t="s">
        <v>85</v>
      </c>
      <c r="I182" s="28"/>
      <c r="J182" s="28"/>
      <c r="K182" s="13" t="s">
        <v>82</v>
      </c>
      <c r="L182" s="13" t="s">
        <v>82</v>
      </c>
      <c r="M182" s="28"/>
      <c r="N182" s="59" t="s">
        <v>465</v>
      </c>
      <c r="O182" s="28" t="s">
        <v>548</v>
      </c>
      <c r="P182" s="28" t="s">
        <v>548</v>
      </c>
      <c r="Q182" s="13" t="s">
        <v>82</v>
      </c>
    </row>
    <row r="183" spans="1:19" x14ac:dyDescent="0.3">
      <c r="A183" s="96">
        <v>168</v>
      </c>
      <c r="B183" s="49" t="s">
        <v>443</v>
      </c>
      <c r="C183" s="49"/>
      <c r="D183" s="49"/>
      <c r="E183" s="49"/>
      <c r="F183" s="32" t="s">
        <v>444</v>
      </c>
      <c r="G183" s="28"/>
      <c r="H183" s="13" t="s">
        <v>82</v>
      </c>
      <c r="I183" s="28"/>
      <c r="J183" s="28"/>
      <c r="K183" s="13" t="s">
        <v>82</v>
      </c>
      <c r="L183" s="28"/>
      <c r="M183" s="28"/>
      <c r="N183" s="28"/>
      <c r="O183" s="28" t="s">
        <v>548</v>
      </c>
      <c r="P183" s="28" t="s">
        <v>548</v>
      </c>
      <c r="Q183" s="13" t="s">
        <v>82</v>
      </c>
    </row>
    <row r="184" spans="1:19" x14ac:dyDescent="0.3">
      <c r="A184" s="96">
        <v>169</v>
      </c>
      <c r="B184" s="49" t="s">
        <v>443</v>
      </c>
      <c r="C184" s="49"/>
      <c r="D184" s="49"/>
      <c r="E184" s="49"/>
      <c r="F184" s="32" t="s">
        <v>445</v>
      </c>
      <c r="G184" s="28"/>
      <c r="H184" s="13" t="s">
        <v>82</v>
      </c>
      <c r="I184" s="28"/>
      <c r="J184" s="28"/>
      <c r="K184" s="13" t="s">
        <v>82</v>
      </c>
      <c r="L184" s="28"/>
      <c r="M184" s="28"/>
      <c r="N184" s="28"/>
      <c r="O184" s="28" t="s">
        <v>548</v>
      </c>
      <c r="P184" s="28" t="s">
        <v>548</v>
      </c>
      <c r="Q184" s="13" t="s">
        <v>82</v>
      </c>
    </row>
    <row r="185" spans="1:19" x14ac:dyDescent="0.3">
      <c r="A185" s="96">
        <v>170</v>
      </c>
      <c r="B185" s="49" t="s">
        <v>443</v>
      </c>
      <c r="C185" s="49"/>
      <c r="D185" s="49"/>
      <c r="E185" s="49"/>
      <c r="F185" s="32" t="s">
        <v>425</v>
      </c>
      <c r="G185" s="28"/>
      <c r="H185" s="13" t="s">
        <v>82</v>
      </c>
      <c r="I185" s="28"/>
      <c r="J185" s="28"/>
      <c r="K185" s="13" t="s">
        <v>82</v>
      </c>
      <c r="L185" s="28"/>
      <c r="M185" s="28"/>
      <c r="N185" s="28"/>
      <c r="O185" s="28" t="s">
        <v>548</v>
      </c>
      <c r="P185" s="28" t="s">
        <v>548</v>
      </c>
      <c r="Q185" s="13" t="s">
        <v>82</v>
      </c>
    </row>
    <row r="186" spans="1:19" ht="129.6" x14ac:dyDescent="0.3">
      <c r="A186" s="96">
        <v>171</v>
      </c>
      <c r="B186" s="49" t="s">
        <v>466</v>
      </c>
      <c r="C186" s="49"/>
      <c r="D186" s="49"/>
      <c r="E186" s="49"/>
      <c r="F186" s="32" t="s">
        <v>467</v>
      </c>
      <c r="G186" s="28" t="s">
        <v>81</v>
      </c>
      <c r="H186" s="13" t="s">
        <v>85</v>
      </c>
      <c r="I186" s="4" t="s">
        <v>468</v>
      </c>
      <c r="J186" s="28"/>
      <c r="K186" s="13" t="s">
        <v>82</v>
      </c>
      <c r="L186" s="28"/>
      <c r="M186" s="28"/>
      <c r="N186" s="28"/>
      <c r="O186" s="28" t="s">
        <v>548</v>
      </c>
      <c r="P186" s="28" t="s">
        <v>548</v>
      </c>
      <c r="Q186" s="13" t="s">
        <v>82</v>
      </c>
    </row>
    <row r="187" spans="1:19" ht="144" x14ac:dyDescent="0.3">
      <c r="A187" s="96">
        <v>172</v>
      </c>
      <c r="B187" s="49" t="s">
        <v>466</v>
      </c>
      <c r="C187" s="49"/>
      <c r="D187" s="49"/>
      <c r="E187" s="49"/>
      <c r="F187" s="32" t="s">
        <v>469</v>
      </c>
      <c r="G187" s="28" t="s">
        <v>101</v>
      </c>
      <c r="H187" s="13" t="s">
        <v>85</v>
      </c>
      <c r="I187" s="4" t="s">
        <v>470</v>
      </c>
      <c r="J187" s="28"/>
      <c r="K187" s="13" t="s">
        <v>82</v>
      </c>
      <c r="L187" s="28"/>
      <c r="M187" s="28"/>
      <c r="N187" s="28"/>
      <c r="O187" s="28" t="s">
        <v>548</v>
      </c>
      <c r="P187" s="28" t="s">
        <v>548</v>
      </c>
      <c r="Q187" s="13" t="s">
        <v>82</v>
      </c>
    </row>
    <row r="188" spans="1:19" s="150" customFormat="1" ht="129.6" x14ac:dyDescent="0.3">
      <c r="A188" s="145">
        <v>173</v>
      </c>
      <c r="B188" s="146" t="s">
        <v>466</v>
      </c>
      <c r="C188" s="146"/>
      <c r="D188" s="146"/>
      <c r="E188" s="146"/>
      <c r="F188" s="147" t="s">
        <v>471</v>
      </c>
      <c r="G188" s="148" t="s">
        <v>101</v>
      </c>
      <c r="H188" s="149" t="s">
        <v>85</v>
      </c>
      <c r="I188" s="4" t="s">
        <v>472</v>
      </c>
      <c r="J188" s="148"/>
      <c r="K188" s="149" t="s">
        <v>85</v>
      </c>
      <c r="L188" s="148"/>
      <c r="M188" s="148"/>
      <c r="N188" s="148"/>
      <c r="O188" s="148" t="s">
        <v>548</v>
      </c>
      <c r="P188" s="148" t="s">
        <v>548</v>
      </c>
      <c r="Q188" s="149" t="s">
        <v>82</v>
      </c>
    </row>
    <row r="189" spans="1:19" s="144" customFormat="1" ht="28.95" customHeight="1" x14ac:dyDescent="0.3">
      <c r="A189" s="139">
        <v>203</v>
      </c>
      <c r="B189" s="138" t="s">
        <v>466</v>
      </c>
      <c r="C189" s="138"/>
      <c r="D189" s="138"/>
      <c r="E189" s="138"/>
      <c r="F189" s="140" t="s">
        <v>473</v>
      </c>
      <c r="G189" s="4" t="s">
        <v>101</v>
      </c>
      <c r="H189" s="72" t="s">
        <v>85</v>
      </c>
      <c r="I189" s="179" t="s">
        <v>474</v>
      </c>
      <c r="J189" s="141"/>
      <c r="K189" s="72" t="s">
        <v>85</v>
      </c>
      <c r="L189" s="141"/>
      <c r="M189" s="141"/>
      <c r="N189" s="141"/>
      <c r="O189" s="142"/>
      <c r="P189" s="141"/>
      <c r="Q189" s="141"/>
      <c r="R189" s="143" t="s">
        <v>82</v>
      </c>
      <c r="S189" s="142"/>
    </row>
    <row r="190" spans="1:19" s="144" customFormat="1" ht="28.8" x14ac:dyDescent="0.3">
      <c r="A190" s="139">
        <v>204</v>
      </c>
      <c r="B190" s="138" t="s">
        <v>466</v>
      </c>
      <c r="C190" s="138"/>
      <c r="D190" s="138"/>
      <c r="E190" s="138"/>
      <c r="F190" s="140" t="s">
        <v>118</v>
      </c>
      <c r="G190" s="141" t="s">
        <v>101</v>
      </c>
      <c r="H190" s="72" t="s">
        <v>85</v>
      </c>
      <c r="I190" s="180"/>
      <c r="J190" s="141"/>
      <c r="K190" s="72" t="s">
        <v>85</v>
      </c>
      <c r="L190" s="141"/>
      <c r="M190" s="141"/>
      <c r="N190" s="141"/>
      <c r="O190" s="142"/>
      <c r="P190" s="141"/>
      <c r="Q190" s="141"/>
      <c r="R190" s="143" t="s">
        <v>82</v>
      </c>
      <c r="S190" s="142"/>
    </row>
    <row r="191" spans="1:19" s="144" customFormat="1" ht="28.8" x14ac:dyDescent="0.3">
      <c r="A191" s="139">
        <v>205</v>
      </c>
      <c r="B191" s="138" t="s">
        <v>466</v>
      </c>
      <c r="C191" s="138"/>
      <c r="D191" s="138"/>
      <c r="E191" s="138"/>
      <c r="F191" s="140" t="s">
        <v>475</v>
      </c>
      <c r="G191" s="141" t="s">
        <v>101</v>
      </c>
      <c r="H191" s="72" t="s">
        <v>85</v>
      </c>
      <c r="I191" s="180"/>
      <c r="J191" s="141"/>
      <c r="K191" s="72" t="s">
        <v>85</v>
      </c>
      <c r="L191" s="141"/>
      <c r="M191" s="141"/>
      <c r="N191" s="141"/>
      <c r="O191" s="142"/>
      <c r="P191" s="141"/>
      <c r="Q191" s="141"/>
      <c r="R191" s="143" t="s">
        <v>82</v>
      </c>
      <c r="S191" s="142"/>
    </row>
    <row r="192" spans="1:19" s="144" customFormat="1" ht="28.8" x14ac:dyDescent="0.3">
      <c r="A192" s="139">
        <v>205</v>
      </c>
      <c r="B192" s="138" t="s">
        <v>466</v>
      </c>
      <c r="C192" s="138"/>
      <c r="D192" s="138"/>
      <c r="E192" s="138"/>
      <c r="F192" s="140" t="s">
        <v>476</v>
      </c>
      <c r="G192" s="141" t="s">
        <v>101</v>
      </c>
      <c r="H192" s="72" t="s">
        <v>85</v>
      </c>
      <c r="I192" s="181"/>
      <c r="J192" s="141"/>
      <c r="K192" s="72" t="s">
        <v>85</v>
      </c>
      <c r="L192" s="141"/>
      <c r="M192" s="141"/>
      <c r="N192" s="141"/>
      <c r="O192" s="142"/>
      <c r="P192" s="141"/>
      <c r="Q192" s="141"/>
      <c r="R192" s="143" t="s">
        <v>82</v>
      </c>
      <c r="S192" s="142"/>
    </row>
    <row r="193" spans="1:17" ht="28.8" x14ac:dyDescent="0.3">
      <c r="A193" s="96">
        <v>174</v>
      </c>
      <c r="B193" s="49" t="s">
        <v>285</v>
      </c>
      <c r="C193" s="49"/>
      <c r="D193" s="49"/>
      <c r="E193" s="49"/>
      <c r="F193" s="27" t="s">
        <v>286</v>
      </c>
      <c r="G193" s="32" t="s">
        <v>101</v>
      </c>
      <c r="H193" s="13" t="s">
        <v>85</v>
      </c>
      <c r="I193" s="28" t="s">
        <v>287</v>
      </c>
      <c r="J193" s="28"/>
      <c r="K193" s="13" t="s">
        <v>85</v>
      </c>
      <c r="L193" s="13" t="s">
        <v>82</v>
      </c>
      <c r="M193" s="28"/>
      <c r="N193" s="59" t="s">
        <v>288</v>
      </c>
      <c r="O193" s="28" t="s">
        <v>548</v>
      </c>
      <c r="P193" s="28" t="s">
        <v>548</v>
      </c>
      <c r="Q193" s="13" t="s">
        <v>82</v>
      </c>
    </row>
    <row r="194" spans="1:17" ht="28.8" x14ac:dyDescent="0.3">
      <c r="A194" s="96">
        <v>175</v>
      </c>
      <c r="B194" s="49" t="s">
        <v>285</v>
      </c>
      <c r="C194" s="49"/>
      <c r="D194" s="49"/>
      <c r="E194" s="49"/>
      <c r="F194" s="27" t="s">
        <v>289</v>
      </c>
      <c r="G194" s="32" t="s">
        <v>101</v>
      </c>
      <c r="H194" s="13" t="s">
        <v>85</v>
      </c>
      <c r="I194" s="28" t="s">
        <v>290</v>
      </c>
      <c r="J194" s="28"/>
      <c r="K194" s="13" t="s">
        <v>85</v>
      </c>
      <c r="L194" s="13" t="s">
        <v>82</v>
      </c>
      <c r="M194" s="28"/>
      <c r="N194" s="59" t="s">
        <v>291</v>
      </c>
      <c r="O194" s="28" t="s">
        <v>548</v>
      </c>
      <c r="P194" s="28" t="s">
        <v>548</v>
      </c>
      <c r="Q194" s="13" t="s">
        <v>82</v>
      </c>
    </row>
    <row r="195" spans="1:17" ht="43.2" x14ac:dyDescent="0.3">
      <c r="A195" s="96">
        <v>176</v>
      </c>
      <c r="B195" s="49" t="s">
        <v>285</v>
      </c>
      <c r="C195" s="49"/>
      <c r="D195" s="49"/>
      <c r="E195" s="49"/>
      <c r="F195" s="27" t="s">
        <v>292</v>
      </c>
      <c r="G195" s="32" t="s">
        <v>101</v>
      </c>
      <c r="H195" s="13" t="s">
        <v>85</v>
      </c>
      <c r="I195" s="28" t="s">
        <v>293</v>
      </c>
      <c r="J195" s="28"/>
      <c r="K195" s="13" t="s">
        <v>85</v>
      </c>
      <c r="L195" s="28"/>
      <c r="M195" s="28"/>
      <c r="N195" s="28"/>
      <c r="O195" s="28" t="s">
        <v>548</v>
      </c>
      <c r="P195" s="28" t="s">
        <v>548</v>
      </c>
      <c r="Q195" s="13" t="s">
        <v>82</v>
      </c>
    </row>
    <row r="196" spans="1:17" ht="28.8" x14ac:dyDescent="0.3">
      <c r="A196" s="96">
        <v>177</v>
      </c>
      <c r="B196" s="49" t="s">
        <v>294</v>
      </c>
      <c r="C196" s="49"/>
      <c r="D196" s="49"/>
      <c r="E196" s="49"/>
      <c r="F196" s="27" t="s">
        <v>295</v>
      </c>
      <c r="G196" s="32" t="s">
        <v>125</v>
      </c>
      <c r="H196" s="13" t="s">
        <v>85</v>
      </c>
      <c r="I196" s="28"/>
      <c r="J196" s="28"/>
      <c r="K196" s="13" t="s">
        <v>85</v>
      </c>
      <c r="L196" s="28"/>
      <c r="M196" s="28"/>
      <c r="N196" s="28"/>
      <c r="O196" s="28" t="s">
        <v>548</v>
      </c>
      <c r="P196" s="28" t="s">
        <v>548</v>
      </c>
      <c r="Q196" s="13" t="s">
        <v>82</v>
      </c>
    </row>
    <row r="197" spans="1:17" x14ac:dyDescent="0.3">
      <c r="A197" s="96">
        <v>178</v>
      </c>
      <c r="B197" s="49" t="s">
        <v>294</v>
      </c>
      <c r="C197" s="49"/>
      <c r="D197" s="49"/>
      <c r="E197" s="49"/>
      <c r="F197" s="27" t="s">
        <v>296</v>
      </c>
      <c r="G197" s="32" t="s">
        <v>101</v>
      </c>
      <c r="H197" s="13" t="s">
        <v>85</v>
      </c>
      <c r="I197" s="28"/>
      <c r="J197" s="28"/>
      <c r="K197" s="13" t="s">
        <v>85</v>
      </c>
      <c r="L197" s="13" t="s">
        <v>82</v>
      </c>
      <c r="M197" s="28"/>
      <c r="N197" s="59" t="s">
        <v>297</v>
      </c>
      <c r="O197" s="28" t="s">
        <v>548</v>
      </c>
      <c r="P197" s="28" t="s">
        <v>548</v>
      </c>
      <c r="Q197" s="13" t="s">
        <v>82</v>
      </c>
    </row>
    <row r="198" spans="1:17" x14ac:dyDescent="0.3">
      <c r="A198" s="96">
        <v>179</v>
      </c>
      <c r="B198" s="49" t="s">
        <v>294</v>
      </c>
      <c r="C198" s="49"/>
      <c r="D198" s="49"/>
      <c r="E198" s="49"/>
      <c r="F198" s="27" t="s">
        <v>298</v>
      </c>
      <c r="G198" s="32" t="s">
        <v>152</v>
      </c>
      <c r="H198" s="13" t="s">
        <v>85</v>
      </c>
      <c r="I198" s="28"/>
      <c r="J198" s="28"/>
      <c r="K198" s="13" t="s">
        <v>85</v>
      </c>
      <c r="L198" s="28"/>
      <c r="M198" s="28"/>
      <c r="N198" s="28"/>
      <c r="O198" s="28" t="s">
        <v>548</v>
      </c>
      <c r="P198" s="28" t="s">
        <v>548</v>
      </c>
      <c r="Q198" s="13" t="s">
        <v>82</v>
      </c>
    </row>
    <row r="199" spans="1:17" x14ac:dyDescent="0.3">
      <c r="A199" s="96">
        <v>180</v>
      </c>
      <c r="B199" s="49" t="s">
        <v>294</v>
      </c>
      <c r="C199" s="49"/>
      <c r="D199" s="49"/>
      <c r="E199" s="49"/>
      <c r="F199" s="27" t="s">
        <v>299</v>
      </c>
      <c r="G199" s="32" t="s">
        <v>101</v>
      </c>
      <c r="H199" s="13" t="s">
        <v>85</v>
      </c>
      <c r="I199" s="28"/>
      <c r="J199" s="28"/>
      <c r="K199" s="13" t="s">
        <v>85</v>
      </c>
      <c r="L199" s="13" t="s">
        <v>82</v>
      </c>
      <c r="M199" s="28"/>
      <c r="N199" s="59" t="s">
        <v>300</v>
      </c>
      <c r="O199" s="28" t="s">
        <v>548</v>
      </c>
      <c r="P199" s="28" t="s">
        <v>548</v>
      </c>
      <c r="Q199" s="13" t="s">
        <v>82</v>
      </c>
    </row>
    <row r="200" spans="1:17" ht="28.8" x14ac:dyDescent="0.3">
      <c r="A200" s="96">
        <v>181</v>
      </c>
      <c r="B200" s="49" t="s">
        <v>294</v>
      </c>
      <c r="C200" s="49"/>
      <c r="D200" s="49"/>
      <c r="E200" s="49"/>
      <c r="F200" s="27" t="s">
        <v>301</v>
      </c>
      <c r="G200" s="32" t="s">
        <v>101</v>
      </c>
      <c r="H200" s="13" t="s">
        <v>85</v>
      </c>
      <c r="I200" s="28" t="s">
        <v>302</v>
      </c>
      <c r="J200" s="28"/>
      <c r="K200" s="13" t="s">
        <v>85</v>
      </c>
      <c r="L200" s="13" t="s">
        <v>82</v>
      </c>
      <c r="M200" s="28"/>
      <c r="N200" s="59" t="s">
        <v>303</v>
      </c>
      <c r="O200" s="28"/>
      <c r="P200" s="28"/>
      <c r="Q200" s="13" t="s">
        <v>82</v>
      </c>
    </row>
    <row r="201" spans="1:17" x14ac:dyDescent="0.3">
      <c r="A201" s="96">
        <v>182</v>
      </c>
      <c r="B201" s="49" t="s">
        <v>294</v>
      </c>
      <c r="C201" s="49"/>
      <c r="D201" s="49"/>
      <c r="E201" s="49"/>
      <c r="F201" s="27" t="s">
        <v>177</v>
      </c>
      <c r="G201" s="32" t="s">
        <v>101</v>
      </c>
      <c r="H201" s="13" t="s">
        <v>85</v>
      </c>
      <c r="I201" s="28"/>
      <c r="J201" s="28"/>
      <c r="K201" s="13" t="s">
        <v>85</v>
      </c>
      <c r="L201" s="13" t="s">
        <v>82</v>
      </c>
      <c r="M201" s="28"/>
      <c r="N201" s="59" t="s">
        <v>304</v>
      </c>
      <c r="O201" s="28"/>
      <c r="P201" s="28"/>
      <c r="Q201" s="13" t="s">
        <v>82</v>
      </c>
    </row>
    <row r="202" spans="1:17" x14ac:dyDescent="0.3">
      <c r="A202" s="96">
        <v>183</v>
      </c>
      <c r="B202" s="49" t="s">
        <v>294</v>
      </c>
      <c r="C202" s="49"/>
      <c r="D202" s="49"/>
      <c r="E202" s="49"/>
      <c r="F202" s="27" t="s">
        <v>305</v>
      </c>
      <c r="G202" s="32" t="s">
        <v>101</v>
      </c>
      <c r="H202" s="13" t="s">
        <v>85</v>
      </c>
      <c r="I202" s="28"/>
      <c r="J202" s="28"/>
      <c r="K202" s="13" t="s">
        <v>85</v>
      </c>
      <c r="L202" s="13" t="s">
        <v>82</v>
      </c>
      <c r="M202" s="28"/>
      <c r="N202" s="59" t="s">
        <v>306</v>
      </c>
      <c r="O202" s="28" t="s">
        <v>548</v>
      </c>
      <c r="P202" s="28" t="s">
        <v>548</v>
      </c>
      <c r="Q202" s="13" t="s">
        <v>82</v>
      </c>
    </row>
    <row r="203" spans="1:17" x14ac:dyDescent="0.3">
      <c r="A203" s="96">
        <v>184</v>
      </c>
      <c r="B203" s="49" t="s">
        <v>294</v>
      </c>
      <c r="C203" s="49"/>
      <c r="D203" s="49"/>
      <c r="E203" s="49"/>
      <c r="F203" s="27" t="s">
        <v>307</v>
      </c>
      <c r="G203" s="32" t="s">
        <v>101</v>
      </c>
      <c r="H203" s="13" t="s">
        <v>85</v>
      </c>
      <c r="I203" s="28"/>
      <c r="J203" s="28"/>
      <c r="K203" s="13" t="s">
        <v>85</v>
      </c>
      <c r="L203" s="13" t="s">
        <v>82</v>
      </c>
      <c r="M203" s="28"/>
      <c r="N203" s="59" t="s">
        <v>306</v>
      </c>
      <c r="O203" s="28" t="s">
        <v>548</v>
      </c>
      <c r="P203" s="28" t="s">
        <v>548</v>
      </c>
      <c r="Q203" s="13" t="s">
        <v>82</v>
      </c>
    </row>
    <row r="204" spans="1:17" ht="72" x14ac:dyDescent="0.3">
      <c r="A204" s="96">
        <v>185</v>
      </c>
      <c r="B204" s="49" t="s">
        <v>308</v>
      </c>
      <c r="C204" s="49"/>
      <c r="D204" s="49"/>
      <c r="E204" s="49"/>
      <c r="F204" s="49" t="s">
        <v>309</v>
      </c>
      <c r="G204" s="32" t="s">
        <v>101</v>
      </c>
      <c r="H204" s="13" t="s">
        <v>85</v>
      </c>
      <c r="I204" s="28" t="s">
        <v>310</v>
      </c>
      <c r="J204" s="28"/>
      <c r="K204" s="13" t="s">
        <v>85</v>
      </c>
      <c r="L204" s="28"/>
      <c r="M204" s="28"/>
      <c r="N204" s="28"/>
      <c r="O204" s="28" t="s">
        <v>548</v>
      </c>
      <c r="P204" s="28" t="s">
        <v>548</v>
      </c>
      <c r="Q204" s="13" t="s">
        <v>82</v>
      </c>
    </row>
    <row r="205" spans="1:17" ht="92.4" customHeight="1" x14ac:dyDescent="0.3">
      <c r="A205" s="96">
        <v>186</v>
      </c>
      <c r="B205" s="49" t="s">
        <v>308</v>
      </c>
      <c r="C205" s="49"/>
      <c r="D205" s="49"/>
      <c r="E205" s="49"/>
      <c r="F205" s="49" t="s">
        <v>147</v>
      </c>
      <c r="G205" s="32" t="s">
        <v>101</v>
      </c>
      <c r="H205" s="13" t="s">
        <v>85</v>
      </c>
      <c r="I205" s="28" t="s">
        <v>553</v>
      </c>
      <c r="J205" s="28"/>
      <c r="K205" s="13" t="s">
        <v>85</v>
      </c>
      <c r="L205" s="13" t="s">
        <v>82</v>
      </c>
      <c r="M205" s="28"/>
      <c r="N205" s="59" t="s">
        <v>300</v>
      </c>
      <c r="O205" s="28"/>
      <c r="P205" s="28"/>
      <c r="Q205" s="13" t="s">
        <v>82</v>
      </c>
    </row>
    <row r="206" spans="1:17" ht="86.4" x14ac:dyDescent="0.3">
      <c r="A206" s="96">
        <v>187</v>
      </c>
      <c r="B206" s="49" t="s">
        <v>308</v>
      </c>
      <c r="C206" s="49"/>
      <c r="D206" s="49"/>
      <c r="E206" s="49"/>
      <c r="F206" s="49" t="s">
        <v>186</v>
      </c>
      <c r="G206" s="28" t="s">
        <v>81</v>
      </c>
      <c r="H206" s="13" t="s">
        <v>85</v>
      </c>
      <c r="I206" s="28" t="s">
        <v>312</v>
      </c>
      <c r="J206" s="28"/>
      <c r="K206" s="13" t="s">
        <v>85</v>
      </c>
      <c r="L206" s="28"/>
      <c r="M206" s="28"/>
      <c r="N206" s="28"/>
      <c r="O206" s="28"/>
      <c r="P206" s="28"/>
      <c r="Q206" s="13" t="s">
        <v>82</v>
      </c>
    </row>
    <row r="207" spans="1:17" x14ac:dyDescent="0.3">
      <c r="A207" s="96">
        <v>188</v>
      </c>
      <c r="B207" s="49" t="s">
        <v>421</v>
      </c>
      <c r="C207" s="49"/>
      <c r="D207" s="49"/>
      <c r="E207" s="49"/>
      <c r="F207" s="49" t="s">
        <v>422</v>
      </c>
      <c r="G207" s="60" t="s">
        <v>101</v>
      </c>
      <c r="H207" s="13" t="s">
        <v>85</v>
      </c>
      <c r="I207" s="28"/>
      <c r="J207" s="28"/>
      <c r="K207" s="13" t="s">
        <v>85</v>
      </c>
      <c r="L207" s="28"/>
      <c r="M207" s="28"/>
      <c r="N207" s="28"/>
      <c r="O207" s="28" t="s">
        <v>548</v>
      </c>
      <c r="P207" s="28" t="s">
        <v>548</v>
      </c>
      <c r="Q207" s="13" t="s">
        <v>82</v>
      </c>
    </row>
    <row r="208" spans="1:17" ht="100.8" x14ac:dyDescent="0.3">
      <c r="A208" s="96">
        <v>189</v>
      </c>
      <c r="B208" s="49" t="s">
        <v>421</v>
      </c>
      <c r="C208" s="49"/>
      <c r="D208" s="49"/>
      <c r="E208" s="49"/>
      <c r="F208" s="49" t="s">
        <v>423</v>
      </c>
      <c r="G208" s="60" t="s">
        <v>101</v>
      </c>
      <c r="H208" s="13" t="s">
        <v>85</v>
      </c>
      <c r="I208" s="28" t="s">
        <v>424</v>
      </c>
      <c r="J208" s="28"/>
      <c r="K208" s="13" t="s">
        <v>85</v>
      </c>
      <c r="L208" s="28"/>
      <c r="M208" s="28"/>
      <c r="N208" s="28"/>
      <c r="O208" s="28" t="s">
        <v>548</v>
      </c>
      <c r="P208" s="28" t="s">
        <v>548</v>
      </c>
      <c r="Q208" s="13" t="s">
        <v>82</v>
      </c>
    </row>
    <row r="209" spans="1:17" ht="57.6" x14ac:dyDescent="0.3">
      <c r="A209" s="96">
        <v>190</v>
      </c>
      <c r="B209" s="49" t="s">
        <v>421</v>
      </c>
      <c r="C209" s="49"/>
      <c r="D209" s="49"/>
      <c r="E209" s="49"/>
      <c r="F209" s="49" t="s">
        <v>425</v>
      </c>
      <c r="G209" s="60" t="s">
        <v>101</v>
      </c>
      <c r="H209" s="13" t="s">
        <v>85</v>
      </c>
      <c r="I209" s="28" t="s">
        <v>426</v>
      </c>
      <c r="J209" s="28"/>
      <c r="K209" s="13" t="s">
        <v>85</v>
      </c>
      <c r="L209" s="28"/>
      <c r="M209" s="28"/>
      <c r="N209" s="28"/>
      <c r="O209" s="28" t="s">
        <v>548</v>
      </c>
      <c r="P209" s="28" t="s">
        <v>548</v>
      </c>
      <c r="Q209" s="13" t="s">
        <v>82</v>
      </c>
    </row>
    <row r="210" spans="1:17" ht="86.4" x14ac:dyDescent="0.3">
      <c r="A210" s="96">
        <v>191</v>
      </c>
      <c r="B210" s="49" t="s">
        <v>421</v>
      </c>
      <c r="C210" s="49"/>
      <c r="D210" s="49"/>
      <c r="E210" s="49"/>
      <c r="F210" s="118" t="s">
        <v>109</v>
      </c>
      <c r="G210" s="93" t="s">
        <v>95</v>
      </c>
      <c r="H210" s="13" t="s">
        <v>85</v>
      </c>
      <c r="I210" s="28" t="s">
        <v>427</v>
      </c>
      <c r="J210" s="28"/>
      <c r="K210" s="13"/>
      <c r="L210" s="28"/>
      <c r="M210" s="28"/>
      <c r="N210" s="28"/>
      <c r="O210" s="28"/>
      <c r="P210" s="28"/>
      <c r="Q210" s="13"/>
    </row>
    <row r="211" spans="1:17" ht="86.4" x14ac:dyDescent="0.3">
      <c r="A211" s="96">
        <v>192</v>
      </c>
      <c r="B211" s="49" t="s">
        <v>421</v>
      </c>
      <c r="C211" s="49"/>
      <c r="D211" s="49"/>
      <c r="E211" s="49"/>
      <c r="F211" s="119" t="s">
        <v>111</v>
      </c>
      <c r="G211" s="107" t="s">
        <v>98</v>
      </c>
      <c r="H211" s="13" t="s">
        <v>85</v>
      </c>
      <c r="I211" s="28" t="s">
        <v>428</v>
      </c>
      <c r="J211" s="28"/>
      <c r="K211" s="13" t="s">
        <v>85</v>
      </c>
      <c r="L211" s="28"/>
      <c r="M211" s="28"/>
      <c r="N211" s="28"/>
      <c r="O211" s="28" t="s">
        <v>548</v>
      </c>
      <c r="P211" s="28" t="s">
        <v>548</v>
      </c>
      <c r="Q211" s="13" t="s">
        <v>82</v>
      </c>
    </row>
    <row r="212" spans="1:17" x14ac:dyDescent="0.3">
      <c r="A212" s="96">
        <v>193</v>
      </c>
      <c r="B212" s="49" t="s">
        <v>429</v>
      </c>
      <c r="C212" s="49"/>
      <c r="D212" s="49"/>
      <c r="E212" s="49"/>
      <c r="F212" s="49" t="s">
        <v>430</v>
      </c>
      <c r="G212" s="28" t="s">
        <v>101</v>
      </c>
      <c r="H212" s="13" t="s">
        <v>85</v>
      </c>
      <c r="I212" s="28"/>
      <c r="J212" s="28"/>
      <c r="K212" s="13" t="s">
        <v>85</v>
      </c>
      <c r="L212" s="28"/>
      <c r="M212" s="28"/>
      <c r="N212" s="28"/>
      <c r="O212" s="28" t="s">
        <v>548</v>
      </c>
      <c r="P212" s="28" t="s">
        <v>548</v>
      </c>
      <c r="Q212" s="13" t="s">
        <v>82</v>
      </c>
    </row>
    <row r="213" spans="1:17" ht="144" x14ac:dyDescent="0.3">
      <c r="A213" s="96">
        <v>194</v>
      </c>
      <c r="B213" s="49" t="s">
        <v>429</v>
      </c>
      <c r="C213" s="49"/>
      <c r="D213" s="49"/>
      <c r="E213" s="49"/>
      <c r="F213" s="49" t="s">
        <v>431</v>
      </c>
      <c r="G213" s="28" t="s">
        <v>125</v>
      </c>
      <c r="H213" s="13" t="s">
        <v>85</v>
      </c>
      <c r="I213" s="28" t="s">
        <v>432</v>
      </c>
      <c r="J213" s="28"/>
      <c r="K213" s="13" t="s">
        <v>85</v>
      </c>
      <c r="L213" s="28"/>
      <c r="M213" s="28"/>
      <c r="N213" s="28"/>
      <c r="O213" s="28" t="s">
        <v>548</v>
      </c>
      <c r="P213" s="28" t="s">
        <v>548</v>
      </c>
      <c r="Q213" s="13" t="s">
        <v>82</v>
      </c>
    </row>
    <row r="214" spans="1:17" ht="144" x14ac:dyDescent="0.3">
      <c r="A214" s="96">
        <v>195</v>
      </c>
      <c r="B214" s="49" t="s">
        <v>429</v>
      </c>
      <c r="C214" s="49"/>
      <c r="D214" s="49"/>
      <c r="E214" s="49"/>
      <c r="F214" s="49" t="s">
        <v>433</v>
      </c>
      <c r="G214" s="28" t="s">
        <v>125</v>
      </c>
      <c r="H214" s="13" t="s">
        <v>85</v>
      </c>
      <c r="I214" s="28" t="s">
        <v>434</v>
      </c>
      <c r="J214" s="28"/>
      <c r="K214" s="13" t="s">
        <v>85</v>
      </c>
      <c r="L214" s="28"/>
      <c r="M214" s="28"/>
      <c r="N214" s="28"/>
      <c r="O214" s="28" t="s">
        <v>548</v>
      </c>
      <c r="P214" s="28" t="s">
        <v>548</v>
      </c>
      <c r="Q214" s="13" t="s">
        <v>82</v>
      </c>
    </row>
    <row r="215" spans="1:17" ht="187.2" x14ac:dyDescent="0.3">
      <c r="A215" s="96">
        <v>196</v>
      </c>
      <c r="B215" s="49" t="s">
        <v>429</v>
      </c>
      <c r="C215" s="49"/>
      <c r="D215" s="49"/>
      <c r="E215" s="49"/>
      <c r="F215" s="49" t="s">
        <v>435</v>
      </c>
      <c r="G215" s="28" t="s">
        <v>125</v>
      </c>
      <c r="H215" s="13" t="s">
        <v>85</v>
      </c>
      <c r="I215" s="28" t="s">
        <v>436</v>
      </c>
      <c r="J215" s="28"/>
      <c r="K215" s="13" t="s">
        <v>85</v>
      </c>
      <c r="L215" s="28"/>
      <c r="M215" s="28"/>
      <c r="N215" s="28"/>
      <c r="O215" s="28" t="s">
        <v>548</v>
      </c>
      <c r="P215" s="28" t="s">
        <v>548</v>
      </c>
      <c r="Q215" s="13" t="s">
        <v>82</v>
      </c>
    </row>
    <row r="216" spans="1:17" ht="100.8" x14ac:dyDescent="0.3">
      <c r="A216" s="96">
        <v>197</v>
      </c>
      <c r="B216" s="49" t="s">
        <v>429</v>
      </c>
      <c r="C216" s="49"/>
      <c r="D216" s="49"/>
      <c r="E216" s="49"/>
      <c r="F216" s="49" t="s">
        <v>437</v>
      </c>
      <c r="G216" s="28" t="s">
        <v>125</v>
      </c>
      <c r="H216" s="13" t="s">
        <v>85</v>
      </c>
      <c r="I216" s="28" t="s">
        <v>438</v>
      </c>
      <c r="J216" s="28"/>
      <c r="K216" s="13" t="s">
        <v>85</v>
      </c>
      <c r="L216" s="28"/>
      <c r="M216" s="28"/>
      <c r="N216" s="28"/>
      <c r="O216" s="28" t="s">
        <v>548</v>
      </c>
      <c r="P216" s="28" t="s">
        <v>548</v>
      </c>
      <c r="Q216" s="13" t="s">
        <v>82</v>
      </c>
    </row>
    <row r="217" spans="1:17" ht="72" x14ac:dyDescent="0.3">
      <c r="A217" s="96">
        <v>198</v>
      </c>
      <c r="B217" s="49" t="s">
        <v>429</v>
      </c>
      <c r="C217" s="49"/>
      <c r="D217" s="49"/>
      <c r="E217" s="49"/>
      <c r="F217" s="49" t="s">
        <v>439</v>
      </c>
      <c r="G217" s="28" t="s">
        <v>125</v>
      </c>
      <c r="H217" s="13" t="s">
        <v>85</v>
      </c>
      <c r="I217" s="28" t="s">
        <v>440</v>
      </c>
      <c r="J217" s="28"/>
      <c r="K217" s="13" t="s">
        <v>85</v>
      </c>
      <c r="L217" s="28"/>
      <c r="M217" s="28"/>
      <c r="N217" s="28"/>
      <c r="O217" s="28" t="s">
        <v>548</v>
      </c>
      <c r="P217" s="28" t="s">
        <v>548</v>
      </c>
      <c r="Q217" s="13" t="s">
        <v>82</v>
      </c>
    </row>
    <row r="218" spans="1:17" ht="129.6" x14ac:dyDescent="0.3">
      <c r="A218" s="96">
        <v>199</v>
      </c>
      <c r="B218" s="49" t="s">
        <v>429</v>
      </c>
      <c r="C218" s="49"/>
      <c r="D218" s="49"/>
      <c r="E218" s="49"/>
      <c r="F218" s="49" t="s">
        <v>441</v>
      </c>
      <c r="G218" s="28" t="s">
        <v>125</v>
      </c>
      <c r="H218" s="13" t="s">
        <v>85</v>
      </c>
      <c r="I218" s="28" t="s">
        <v>442</v>
      </c>
      <c r="J218" s="28"/>
      <c r="K218" s="13" t="s">
        <v>85</v>
      </c>
      <c r="L218" s="28"/>
      <c r="M218" s="28"/>
      <c r="N218" s="28"/>
      <c r="O218" s="28" t="s">
        <v>548</v>
      </c>
      <c r="P218" s="28" t="s">
        <v>548</v>
      </c>
      <c r="Q218" s="13" t="s">
        <v>82</v>
      </c>
    </row>
    <row r="219" spans="1:17" ht="43.2" x14ac:dyDescent="0.3">
      <c r="A219" s="96">
        <v>200</v>
      </c>
      <c r="B219" s="49" t="s">
        <v>446</v>
      </c>
      <c r="C219" s="13" t="s">
        <v>82</v>
      </c>
      <c r="D219" s="49"/>
      <c r="E219" s="49"/>
      <c r="F219" s="49" t="s">
        <v>335</v>
      </c>
      <c r="G219" s="28" t="s">
        <v>101</v>
      </c>
      <c r="H219" s="13" t="s">
        <v>85</v>
      </c>
      <c r="I219" s="28" t="s">
        <v>447</v>
      </c>
      <c r="J219" s="28"/>
      <c r="K219" s="13" t="s">
        <v>85</v>
      </c>
      <c r="L219" s="13" t="s">
        <v>82</v>
      </c>
      <c r="M219" s="28"/>
      <c r="N219" s="28" t="s">
        <v>448</v>
      </c>
      <c r="O219" s="28" t="s">
        <v>86</v>
      </c>
      <c r="P219" s="93" t="s">
        <v>510</v>
      </c>
      <c r="Q219" s="13" t="s">
        <v>82</v>
      </c>
    </row>
    <row r="220" spans="1:17" ht="158.4" x14ac:dyDescent="0.3">
      <c r="A220" s="96">
        <v>201</v>
      </c>
      <c r="B220" s="49" t="s">
        <v>446</v>
      </c>
      <c r="C220" s="13" t="s">
        <v>82</v>
      </c>
      <c r="D220" s="49"/>
      <c r="E220" s="49"/>
      <c r="F220" s="49" t="s">
        <v>449</v>
      </c>
      <c r="G220" s="28" t="s">
        <v>101</v>
      </c>
      <c r="H220" s="13" t="s">
        <v>85</v>
      </c>
      <c r="I220" s="28" t="s">
        <v>450</v>
      </c>
      <c r="J220" s="28"/>
      <c r="K220" s="13" t="s">
        <v>85</v>
      </c>
      <c r="L220" s="28"/>
      <c r="M220" s="28"/>
      <c r="N220" s="28"/>
      <c r="O220" s="28" t="s">
        <v>86</v>
      </c>
      <c r="P220" s="93" t="s">
        <v>510</v>
      </c>
      <c r="Q220" s="13" t="s">
        <v>82</v>
      </c>
    </row>
    <row r="221" spans="1:17" ht="57.6" x14ac:dyDescent="0.3">
      <c r="A221" s="96">
        <v>202</v>
      </c>
      <c r="B221" s="49" t="s">
        <v>446</v>
      </c>
      <c r="C221" s="13" t="s">
        <v>82</v>
      </c>
      <c r="D221" s="49"/>
      <c r="E221" s="49"/>
      <c r="F221" s="49" t="s">
        <v>451</v>
      </c>
      <c r="G221" s="28" t="s">
        <v>101</v>
      </c>
      <c r="H221" s="13" t="s">
        <v>85</v>
      </c>
      <c r="I221" s="28" t="s">
        <v>452</v>
      </c>
      <c r="J221" s="28"/>
      <c r="K221" s="13" t="s">
        <v>85</v>
      </c>
      <c r="L221" s="13" t="s">
        <v>82</v>
      </c>
      <c r="M221" s="28"/>
      <c r="N221" s="59" t="s">
        <v>453</v>
      </c>
      <c r="O221" s="28" t="s">
        <v>86</v>
      </c>
      <c r="P221" s="93" t="s">
        <v>510</v>
      </c>
      <c r="Q221" s="13" t="s">
        <v>82</v>
      </c>
    </row>
    <row r="222" spans="1:17" ht="28.8" x14ac:dyDescent="0.3">
      <c r="A222" s="96">
        <v>203</v>
      </c>
      <c r="B222" s="49" t="s">
        <v>454</v>
      </c>
      <c r="C222" s="49"/>
      <c r="D222" s="49"/>
      <c r="E222" s="49"/>
      <c r="F222" s="49" t="s">
        <v>425</v>
      </c>
      <c r="G222" s="28" t="s">
        <v>101</v>
      </c>
      <c r="H222" s="13" t="s">
        <v>85</v>
      </c>
      <c r="I222" s="120"/>
      <c r="J222" s="120"/>
      <c r="K222" s="13" t="s">
        <v>85</v>
      </c>
      <c r="L222" s="28"/>
      <c r="M222" s="28"/>
      <c r="N222" s="28"/>
      <c r="O222" s="28" t="s">
        <v>548</v>
      </c>
      <c r="P222" s="28" t="s">
        <v>548</v>
      </c>
      <c r="Q222" s="13" t="s">
        <v>82</v>
      </c>
    </row>
    <row r="223" spans="1:17" ht="86.4" x14ac:dyDescent="0.3">
      <c r="A223" s="96">
        <v>204</v>
      </c>
      <c r="B223" s="49" t="s">
        <v>454</v>
      </c>
      <c r="C223" s="49"/>
      <c r="D223" s="49"/>
      <c r="E223" s="49"/>
      <c r="F223" s="118" t="s">
        <v>109</v>
      </c>
      <c r="G223" s="93" t="s">
        <v>95</v>
      </c>
      <c r="H223" s="13" t="s">
        <v>85</v>
      </c>
      <c r="I223" s="28" t="s">
        <v>427</v>
      </c>
      <c r="J223" s="120"/>
      <c r="K223" s="13"/>
      <c r="L223" s="28"/>
      <c r="M223" s="28"/>
      <c r="N223" s="28"/>
      <c r="O223" s="28"/>
      <c r="P223" s="28"/>
      <c r="Q223" s="13"/>
    </row>
    <row r="224" spans="1:17" ht="79.2" x14ac:dyDescent="0.3">
      <c r="A224" s="96">
        <v>205</v>
      </c>
      <c r="B224" s="49" t="s">
        <v>454</v>
      </c>
      <c r="C224" s="49"/>
      <c r="D224" s="49"/>
      <c r="E224" s="49"/>
      <c r="F224" s="119" t="s">
        <v>111</v>
      </c>
      <c r="G224" s="107" t="s">
        <v>98</v>
      </c>
      <c r="H224" s="13" t="s">
        <v>85</v>
      </c>
      <c r="I224" s="120" t="s">
        <v>554</v>
      </c>
      <c r="J224" s="120"/>
      <c r="K224" s="13" t="s">
        <v>85</v>
      </c>
      <c r="L224" s="28"/>
      <c r="M224" s="28"/>
      <c r="N224" s="28"/>
      <c r="O224" s="28" t="s">
        <v>548</v>
      </c>
      <c r="P224" s="28" t="s">
        <v>548</v>
      </c>
      <c r="Q224" s="13" t="s">
        <v>82</v>
      </c>
    </row>
    <row r="225" spans="1:17" ht="105.6" x14ac:dyDescent="0.3">
      <c r="A225" s="96">
        <v>206</v>
      </c>
      <c r="B225" s="49" t="s">
        <v>454</v>
      </c>
      <c r="C225" s="49"/>
      <c r="D225" s="49"/>
      <c r="E225" s="49"/>
      <c r="F225" s="49" t="s">
        <v>423</v>
      </c>
      <c r="G225" s="28" t="s">
        <v>101</v>
      </c>
      <c r="H225" s="13" t="s">
        <v>85</v>
      </c>
      <c r="I225" s="120" t="s">
        <v>456</v>
      </c>
      <c r="J225" s="120"/>
      <c r="K225" s="13" t="s">
        <v>85</v>
      </c>
      <c r="L225" s="28"/>
      <c r="M225" s="28"/>
      <c r="N225" s="28"/>
      <c r="O225" s="28" t="s">
        <v>548</v>
      </c>
      <c r="P225" s="28" t="s">
        <v>548</v>
      </c>
      <c r="Q225" s="13" t="s">
        <v>82</v>
      </c>
    </row>
    <row r="226" spans="1:17" ht="52.8" x14ac:dyDescent="0.3">
      <c r="A226" s="96">
        <v>207</v>
      </c>
      <c r="B226" s="49" t="s">
        <v>454</v>
      </c>
      <c r="C226" s="49"/>
      <c r="D226" s="49"/>
      <c r="E226" s="49"/>
      <c r="F226" s="49" t="s">
        <v>289</v>
      </c>
      <c r="G226" s="28" t="s">
        <v>101</v>
      </c>
      <c r="H226" s="13" t="s">
        <v>85</v>
      </c>
      <c r="I226" s="120" t="s">
        <v>457</v>
      </c>
      <c r="J226" s="120"/>
      <c r="K226" s="13" t="s">
        <v>85</v>
      </c>
      <c r="L226" s="13" t="s">
        <v>82</v>
      </c>
      <c r="M226" s="28"/>
      <c r="N226" s="59" t="s">
        <v>291</v>
      </c>
      <c r="O226" s="28" t="s">
        <v>548</v>
      </c>
      <c r="P226" s="28" t="s">
        <v>548</v>
      </c>
      <c r="Q226" s="13" t="s">
        <v>82</v>
      </c>
    </row>
    <row r="227" spans="1:17" ht="18" x14ac:dyDescent="0.3">
      <c r="A227" s="189" t="s">
        <v>477</v>
      </c>
      <c r="B227" s="190"/>
      <c r="C227" s="190"/>
      <c r="D227" s="190"/>
      <c r="E227" s="190"/>
      <c r="F227" s="190"/>
      <c r="G227" s="190"/>
      <c r="H227" s="190"/>
      <c r="I227" s="190"/>
      <c r="J227" s="190"/>
      <c r="K227" s="190"/>
      <c r="L227" s="190"/>
      <c r="M227" s="190"/>
      <c r="N227" s="191"/>
      <c r="O227" s="121"/>
    </row>
    <row r="228" spans="1:17" ht="57.6" x14ac:dyDescent="0.3">
      <c r="A228" s="30" t="s">
        <v>60</v>
      </c>
      <c r="B228" s="30" t="s">
        <v>61</v>
      </c>
      <c r="C228" s="30" t="s">
        <v>62</v>
      </c>
      <c r="D228" s="30" t="s">
        <v>63</v>
      </c>
      <c r="E228" s="30" t="s">
        <v>65</v>
      </c>
      <c r="F228" s="30" t="s">
        <v>66</v>
      </c>
      <c r="G228" s="30" t="s">
        <v>478</v>
      </c>
      <c r="H228" s="30" t="s">
        <v>68</v>
      </c>
      <c r="I228" s="30" t="s">
        <v>479</v>
      </c>
      <c r="J228" s="30" t="s">
        <v>72</v>
      </c>
      <c r="K228" s="30" t="s">
        <v>73</v>
      </c>
      <c r="L228" s="30" t="s">
        <v>74</v>
      </c>
      <c r="M228" s="31" t="s">
        <v>480</v>
      </c>
      <c r="N228" s="31" t="s">
        <v>481</v>
      </c>
      <c r="O228" s="57"/>
    </row>
    <row r="229" spans="1:17" ht="28.8" x14ac:dyDescent="0.3">
      <c r="A229" s="13">
        <v>1</v>
      </c>
      <c r="B229" s="28" t="s">
        <v>482</v>
      </c>
      <c r="C229" s="13" t="s">
        <v>85</v>
      </c>
      <c r="D229" s="13" t="s">
        <v>82</v>
      </c>
      <c r="E229" s="28" t="s">
        <v>483</v>
      </c>
      <c r="F229" s="28" t="s">
        <v>125</v>
      </c>
      <c r="G229" s="13" t="s">
        <v>82</v>
      </c>
      <c r="H229" s="28" t="s">
        <v>555</v>
      </c>
      <c r="I229" s="28" t="s">
        <v>85</v>
      </c>
      <c r="J229" s="28"/>
      <c r="K229" s="28"/>
      <c r="L229" s="28"/>
      <c r="M229" s="28"/>
      <c r="N229" s="28"/>
    </row>
    <row r="230" spans="1:17" ht="72" x14ac:dyDescent="0.3">
      <c r="A230" s="13">
        <f>A229+1</f>
        <v>2</v>
      </c>
      <c r="B230" s="28" t="s">
        <v>482</v>
      </c>
      <c r="C230" s="13" t="s">
        <v>82</v>
      </c>
      <c r="D230" s="13" t="s">
        <v>82</v>
      </c>
      <c r="E230" s="28" t="s">
        <v>485</v>
      </c>
      <c r="F230" s="28" t="s">
        <v>101</v>
      </c>
      <c r="G230" s="13" t="s">
        <v>82</v>
      </c>
      <c r="H230" s="28" t="s">
        <v>486</v>
      </c>
      <c r="I230" s="28" t="s">
        <v>82</v>
      </c>
      <c r="J230" s="28"/>
      <c r="K230" s="28"/>
      <c r="L230" s="28"/>
      <c r="M230" s="28"/>
      <c r="N230" s="28"/>
    </row>
    <row r="231" spans="1:17" ht="28.8" x14ac:dyDescent="0.3">
      <c r="A231" s="13">
        <v>3</v>
      </c>
      <c r="B231" s="28" t="s">
        <v>482</v>
      </c>
      <c r="C231" s="13" t="s">
        <v>85</v>
      </c>
      <c r="D231" s="13" t="s">
        <v>82</v>
      </c>
      <c r="E231" s="28" t="s">
        <v>487</v>
      </c>
      <c r="F231" s="28" t="s">
        <v>101</v>
      </c>
      <c r="G231" s="13" t="s">
        <v>82</v>
      </c>
      <c r="H231" s="122" t="s">
        <v>488</v>
      </c>
      <c r="I231" s="28" t="s">
        <v>85</v>
      </c>
      <c r="J231" s="28"/>
      <c r="K231" s="28"/>
      <c r="L231" s="28"/>
      <c r="M231" s="28"/>
      <c r="N231" s="28"/>
    </row>
    <row r="232" spans="1:17" ht="28.8" x14ac:dyDescent="0.3">
      <c r="A232" s="13">
        <f>A231+1</f>
        <v>4</v>
      </c>
      <c r="B232" s="28" t="s">
        <v>482</v>
      </c>
      <c r="C232" s="13" t="s">
        <v>85</v>
      </c>
      <c r="D232" s="13" t="s">
        <v>82</v>
      </c>
      <c r="E232" s="28" t="s">
        <v>489</v>
      </c>
      <c r="F232" s="28" t="s">
        <v>101</v>
      </c>
      <c r="G232" s="13" t="s">
        <v>82</v>
      </c>
      <c r="H232" s="28" t="s">
        <v>556</v>
      </c>
      <c r="I232" s="28" t="s">
        <v>85</v>
      </c>
      <c r="J232" s="28"/>
      <c r="K232" s="28"/>
      <c r="L232" s="28"/>
      <c r="M232" s="28"/>
      <c r="N232" s="28" t="s">
        <v>85</v>
      </c>
    </row>
    <row r="233" spans="1:17" ht="28.8" x14ac:dyDescent="0.3">
      <c r="A233" s="13">
        <f>A232+1</f>
        <v>5</v>
      </c>
      <c r="B233" s="28" t="s">
        <v>482</v>
      </c>
      <c r="C233" s="13" t="s">
        <v>85</v>
      </c>
      <c r="D233" s="13" t="s">
        <v>82</v>
      </c>
      <c r="E233" s="28" t="s">
        <v>491</v>
      </c>
      <c r="F233" s="28" t="s">
        <v>492</v>
      </c>
      <c r="G233" s="13" t="s">
        <v>82</v>
      </c>
      <c r="H233" s="28" t="s">
        <v>493</v>
      </c>
      <c r="I233" s="28" t="s">
        <v>85</v>
      </c>
      <c r="J233" s="28"/>
      <c r="K233" s="28"/>
      <c r="L233" s="28"/>
      <c r="M233" s="28"/>
      <c r="N233" s="28" t="s">
        <v>85</v>
      </c>
    </row>
    <row r="234" spans="1:17" ht="28.8" x14ac:dyDescent="0.3">
      <c r="A234" s="126" t="s">
        <v>496</v>
      </c>
    </row>
  </sheetData>
  <autoFilter ref="A13:R234" xr:uid="{E396F76F-E79B-482E-BDF7-1D4024A9D527}"/>
  <mergeCells count="19">
    <mergeCell ref="K16:K17"/>
    <mergeCell ref="H23:H24"/>
    <mergeCell ref="H25:H26"/>
    <mergeCell ref="K25:K26"/>
    <mergeCell ref="A227:N227"/>
    <mergeCell ref="H16:H17"/>
    <mergeCell ref="I189:I192"/>
    <mergeCell ref="A7:N7"/>
    <mergeCell ref="A1:N1"/>
    <mergeCell ref="A2:N2"/>
    <mergeCell ref="E4:H4"/>
    <mergeCell ref="E5:H5"/>
    <mergeCell ref="A6:N6"/>
    <mergeCell ref="A9:N9"/>
    <mergeCell ref="B10:K10"/>
    <mergeCell ref="A11:N11"/>
    <mergeCell ref="A12:N12"/>
    <mergeCell ref="H14:H15"/>
    <mergeCell ref="K14:K15"/>
  </mergeCells>
  <phoneticPr fontId="32" type="noConversion"/>
  <hyperlinks>
    <hyperlink ref="A234" location="Index!A1" display="Back to Index" xr:uid="{BA906BFD-B556-4817-B092-BC4827C80830}"/>
  </hyperlink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C1BA41-11FF-4D48-ACD5-45A7B210F1BF}">
  <dimension ref="A1:S225"/>
  <sheetViews>
    <sheetView tabSelected="1" topLeftCell="A97" zoomScale="70" zoomScaleNormal="70" workbookViewId="0">
      <selection activeCell="I118" sqref="I118"/>
    </sheetView>
  </sheetViews>
  <sheetFormatPr defaultRowHeight="14.4" x14ac:dyDescent="0.3"/>
  <cols>
    <col min="1" max="1" width="6.44140625" bestFit="1" customWidth="1"/>
    <col min="2" max="2" width="39.44140625" customWidth="1"/>
    <col min="5" max="5" width="34.88671875" bestFit="1" customWidth="1"/>
    <col min="6" max="6" width="36" bestFit="1" customWidth="1"/>
    <col min="7" max="7" width="15" bestFit="1" customWidth="1"/>
    <col min="8" max="8" width="38.88671875" bestFit="1" customWidth="1"/>
    <col min="9" max="9" width="47.109375" bestFit="1" customWidth="1"/>
    <col min="10" max="10" width="28.5546875" bestFit="1" customWidth="1"/>
    <col min="11" max="11" width="34.88671875" bestFit="1" customWidth="1"/>
    <col min="12" max="12" width="20" bestFit="1" customWidth="1"/>
  </cols>
  <sheetData>
    <row r="1" spans="1:14" ht="18" x14ac:dyDescent="0.35">
      <c r="A1" s="166" t="s">
        <v>557</v>
      </c>
      <c r="B1" s="166"/>
      <c r="C1" s="166"/>
      <c r="D1" s="166"/>
      <c r="E1" s="166"/>
      <c r="F1" s="166"/>
      <c r="G1" s="166"/>
      <c r="H1" s="166"/>
      <c r="I1" s="166"/>
      <c r="J1" s="166"/>
      <c r="K1" s="166"/>
      <c r="L1" s="166"/>
      <c r="M1" s="166"/>
      <c r="N1" s="166"/>
    </row>
    <row r="2" spans="1:14" ht="18" x14ac:dyDescent="0.35">
      <c r="A2" s="166" t="s">
        <v>558</v>
      </c>
      <c r="B2" s="166"/>
      <c r="C2" s="166"/>
      <c r="D2" s="166"/>
      <c r="E2" s="166"/>
      <c r="F2" s="166"/>
      <c r="G2" s="166"/>
      <c r="H2" s="166"/>
      <c r="I2" s="166"/>
      <c r="J2" s="166"/>
      <c r="K2" s="166"/>
      <c r="L2" s="166"/>
      <c r="M2" s="166"/>
      <c r="N2" s="166"/>
    </row>
    <row r="3" spans="1:14" ht="26.25" customHeight="1" x14ac:dyDescent="0.3">
      <c r="A3" s="5" t="s">
        <v>60</v>
      </c>
      <c r="B3" s="5" t="s">
        <v>61</v>
      </c>
      <c r="C3" s="5" t="s">
        <v>62</v>
      </c>
      <c r="D3" s="5" t="s">
        <v>63</v>
      </c>
      <c r="E3" s="5" t="s">
        <v>65</v>
      </c>
      <c r="F3" s="5" t="s">
        <v>66</v>
      </c>
      <c r="G3" s="5" t="s">
        <v>478</v>
      </c>
      <c r="H3" s="5" t="s">
        <v>68</v>
      </c>
      <c r="I3" s="5" t="s">
        <v>479</v>
      </c>
      <c r="J3" s="5" t="s">
        <v>72</v>
      </c>
      <c r="K3" s="5" t="s">
        <v>73</v>
      </c>
      <c r="L3" s="6" t="s">
        <v>74</v>
      </c>
      <c r="M3" s="7" t="s">
        <v>480</v>
      </c>
      <c r="N3" s="7" t="s">
        <v>481</v>
      </c>
    </row>
    <row r="4" spans="1:14" ht="28.8" x14ac:dyDescent="0.3">
      <c r="A4" s="186">
        <v>1</v>
      </c>
      <c r="B4" s="49" t="s">
        <v>511</v>
      </c>
      <c r="C4" s="97" t="s">
        <v>82</v>
      </c>
      <c r="D4" s="97" t="s">
        <v>82</v>
      </c>
      <c r="E4" s="27" t="s">
        <v>109</v>
      </c>
      <c r="F4" s="49" t="s">
        <v>95</v>
      </c>
      <c r="G4" s="198" t="s">
        <v>82</v>
      </c>
      <c r="H4" s="32" t="s">
        <v>559</v>
      </c>
      <c r="I4" s="97"/>
      <c r="J4" s="97"/>
      <c r="K4" s="97"/>
      <c r="L4" s="100"/>
      <c r="M4" s="91"/>
      <c r="N4" s="36" t="s">
        <v>85</v>
      </c>
    </row>
    <row r="5" spans="1:14" ht="43.2" x14ac:dyDescent="0.3">
      <c r="A5" s="188"/>
      <c r="B5" s="49" t="s">
        <v>511</v>
      </c>
      <c r="C5" s="3" t="s">
        <v>82</v>
      </c>
      <c r="D5" s="36" t="s">
        <v>82</v>
      </c>
      <c r="E5" s="109" t="s">
        <v>111</v>
      </c>
      <c r="F5" s="4" t="s">
        <v>98</v>
      </c>
      <c r="G5" s="199"/>
      <c r="H5" s="70" t="s">
        <v>560</v>
      </c>
      <c r="I5" s="3"/>
      <c r="J5" s="3"/>
      <c r="K5" s="3"/>
      <c r="L5" s="3"/>
      <c r="M5" s="3"/>
      <c r="N5" s="36" t="s">
        <v>85</v>
      </c>
    </row>
    <row r="6" spans="1:14" x14ac:dyDescent="0.3">
      <c r="A6" s="206"/>
      <c r="B6" s="207"/>
      <c r="C6" s="207"/>
      <c r="D6" s="207"/>
      <c r="E6" s="207"/>
      <c r="F6" s="207"/>
      <c r="G6" s="207"/>
      <c r="H6" s="207"/>
      <c r="I6" s="207"/>
      <c r="J6" s="207"/>
      <c r="K6" s="207"/>
      <c r="L6" s="207"/>
      <c r="M6" s="207"/>
      <c r="N6" s="208"/>
    </row>
    <row r="7" spans="1:14" ht="18" x14ac:dyDescent="0.35">
      <c r="A7" s="170" t="s">
        <v>477</v>
      </c>
      <c r="B7" s="171"/>
      <c r="C7" s="171"/>
      <c r="D7" s="171"/>
      <c r="E7" s="171"/>
      <c r="F7" s="171"/>
      <c r="G7" s="171"/>
      <c r="H7" s="171"/>
      <c r="I7" s="171"/>
      <c r="J7" s="171"/>
      <c r="K7" s="171"/>
      <c r="L7" s="171"/>
      <c r="M7" s="171"/>
      <c r="N7" s="172"/>
    </row>
    <row r="8" spans="1:14" s="20" customFormat="1" ht="45.75" customHeight="1" x14ac:dyDescent="0.3">
      <c r="A8" s="29" t="s">
        <v>60</v>
      </c>
      <c r="B8" s="30" t="s">
        <v>61</v>
      </c>
      <c r="C8" s="5" t="s">
        <v>62</v>
      </c>
      <c r="D8" s="5" t="s">
        <v>63</v>
      </c>
      <c r="E8" s="5" t="s">
        <v>64</v>
      </c>
      <c r="F8" s="30" t="s">
        <v>65</v>
      </c>
      <c r="G8" s="30" t="s">
        <v>66</v>
      </c>
      <c r="H8" s="30" t="s">
        <v>478</v>
      </c>
      <c r="I8" s="30" t="s">
        <v>68</v>
      </c>
      <c r="J8" s="30" t="s">
        <v>479</v>
      </c>
      <c r="K8" s="30" t="s">
        <v>75</v>
      </c>
      <c r="L8" s="86" t="s">
        <v>561</v>
      </c>
    </row>
    <row r="9" spans="1:14" x14ac:dyDescent="0.3">
      <c r="A9" s="37">
        <v>1</v>
      </c>
      <c r="B9" s="14"/>
      <c r="C9" s="14"/>
      <c r="D9" s="4"/>
      <c r="E9" s="4"/>
      <c r="F9" s="4" t="s">
        <v>562</v>
      </c>
      <c r="G9" s="3" t="s">
        <v>101</v>
      </c>
      <c r="H9" s="13" t="s">
        <v>82</v>
      </c>
      <c r="I9" s="4" t="s">
        <v>484</v>
      </c>
      <c r="J9" s="4"/>
      <c r="K9" s="4"/>
      <c r="L9" s="4" t="s">
        <v>87</v>
      </c>
    </row>
    <row r="10" spans="1:14" ht="43.2" x14ac:dyDescent="0.3">
      <c r="A10" s="37">
        <f t="shared" ref="A10:A75" si="0">A9+1</f>
        <v>2</v>
      </c>
      <c r="B10" s="13" t="s">
        <v>563</v>
      </c>
      <c r="C10" s="13" t="s">
        <v>82</v>
      </c>
      <c r="D10" s="13" t="s">
        <v>85</v>
      </c>
      <c r="E10" s="13"/>
      <c r="F10" s="4" t="s">
        <v>485</v>
      </c>
      <c r="G10" s="4" t="s">
        <v>101</v>
      </c>
      <c r="H10" s="13" t="s">
        <v>85</v>
      </c>
      <c r="I10" s="4" t="s">
        <v>564</v>
      </c>
      <c r="J10" s="10" t="s">
        <v>82</v>
      </c>
      <c r="K10" s="4"/>
      <c r="L10" s="4" t="s">
        <v>87</v>
      </c>
    </row>
    <row r="11" spans="1:14" x14ac:dyDescent="0.3">
      <c r="A11" s="37">
        <f t="shared" si="0"/>
        <v>3</v>
      </c>
      <c r="B11" s="49" t="s">
        <v>511</v>
      </c>
      <c r="C11" s="10"/>
      <c r="D11" s="10"/>
      <c r="E11" s="10"/>
      <c r="F11" s="27" t="s">
        <v>109</v>
      </c>
      <c r="G11" s="3" t="s">
        <v>95</v>
      </c>
      <c r="H11" s="13" t="s">
        <v>82</v>
      </c>
      <c r="I11" s="32" t="s">
        <v>512</v>
      </c>
      <c r="K11" s="4"/>
      <c r="L11" s="4" t="s">
        <v>87</v>
      </c>
    </row>
    <row r="12" spans="1:14" x14ac:dyDescent="0.3">
      <c r="A12" s="37"/>
      <c r="B12" s="49" t="s">
        <v>511</v>
      </c>
      <c r="C12" s="10"/>
      <c r="D12" s="10"/>
      <c r="E12" s="10"/>
      <c r="F12" s="109" t="s">
        <v>111</v>
      </c>
      <c r="G12" s="3" t="s">
        <v>98</v>
      </c>
      <c r="H12" s="13" t="s">
        <v>82</v>
      </c>
      <c r="I12" s="75" t="s">
        <v>565</v>
      </c>
      <c r="K12" s="4"/>
      <c r="L12" s="4"/>
    </row>
    <row r="13" spans="1:14" x14ac:dyDescent="0.3">
      <c r="A13" s="37">
        <f>A11+1</f>
        <v>4</v>
      </c>
      <c r="B13" s="3" t="s">
        <v>108</v>
      </c>
      <c r="C13" s="3"/>
      <c r="D13" s="10"/>
      <c r="E13" s="10"/>
      <c r="F13" s="27" t="s">
        <v>109</v>
      </c>
      <c r="G13" s="3" t="s">
        <v>95</v>
      </c>
      <c r="H13" s="102" t="s">
        <v>85</v>
      </c>
      <c r="I13" s="98" t="s">
        <v>566</v>
      </c>
      <c r="J13" s="3"/>
      <c r="K13" s="4"/>
      <c r="L13" s="4" t="s">
        <v>87</v>
      </c>
    </row>
    <row r="14" spans="1:14" x14ac:dyDescent="0.3">
      <c r="A14" s="37">
        <f t="shared" si="0"/>
        <v>5</v>
      </c>
      <c r="B14" s="3" t="s">
        <v>108</v>
      </c>
      <c r="C14" s="3"/>
      <c r="D14" s="10"/>
      <c r="E14" s="10"/>
      <c r="F14" s="109" t="s">
        <v>111</v>
      </c>
      <c r="G14" s="3" t="s">
        <v>98</v>
      </c>
      <c r="H14" s="102" t="s">
        <v>85</v>
      </c>
      <c r="I14" s="4" t="s">
        <v>567</v>
      </c>
      <c r="J14" s="3"/>
      <c r="K14" s="4"/>
      <c r="L14" s="4" t="s">
        <v>87</v>
      </c>
    </row>
    <row r="15" spans="1:14" x14ac:dyDescent="0.3">
      <c r="A15" s="37">
        <f>A14+1</f>
        <v>6</v>
      </c>
      <c r="B15" s="3"/>
      <c r="C15" s="10"/>
      <c r="D15" s="10"/>
      <c r="E15" s="10"/>
      <c r="F15" s="3" t="s">
        <v>516</v>
      </c>
      <c r="G15" s="3" t="s">
        <v>101</v>
      </c>
      <c r="H15" s="10" t="s">
        <v>82</v>
      </c>
      <c r="I15" s="4" t="s">
        <v>517</v>
      </c>
      <c r="J15" s="3"/>
      <c r="K15" s="4"/>
      <c r="L15" s="4" t="s">
        <v>87</v>
      </c>
    </row>
    <row r="16" spans="1:14" s="20" customFormat="1" x14ac:dyDescent="0.3">
      <c r="A16" s="37">
        <f t="shared" si="0"/>
        <v>7</v>
      </c>
      <c r="B16" s="32"/>
      <c r="C16" s="32"/>
      <c r="D16" s="32"/>
      <c r="E16" s="32"/>
      <c r="F16" s="32" t="s">
        <v>80</v>
      </c>
      <c r="G16" s="32" t="s">
        <v>152</v>
      </c>
      <c r="H16" s="13" t="s">
        <v>85</v>
      </c>
      <c r="I16" s="32"/>
      <c r="J16" s="32"/>
      <c r="K16" s="4"/>
      <c r="L16" s="4" t="s">
        <v>87</v>
      </c>
    </row>
    <row r="17" spans="1:12" s="20" customFormat="1" x14ac:dyDescent="0.3">
      <c r="A17" s="37">
        <f t="shared" si="0"/>
        <v>8</v>
      </c>
      <c r="B17" s="32"/>
      <c r="C17" s="32"/>
      <c r="D17" s="32"/>
      <c r="E17" s="108"/>
      <c r="F17" t="s">
        <v>88</v>
      </c>
      <c r="G17" s="32" t="s">
        <v>17</v>
      </c>
      <c r="H17" s="13" t="s">
        <v>85</v>
      </c>
      <c r="I17" s="32"/>
      <c r="J17" s="32"/>
      <c r="K17" s="4"/>
      <c r="L17" s="4" t="s">
        <v>87</v>
      </c>
    </row>
    <row r="18" spans="1:12" s="20" customFormat="1" x14ac:dyDescent="0.3">
      <c r="A18" s="37">
        <f t="shared" si="0"/>
        <v>9</v>
      </c>
      <c r="B18" s="32"/>
      <c r="C18" s="32"/>
      <c r="D18" s="32"/>
      <c r="E18" s="32"/>
      <c r="F18" s="32" t="s">
        <v>118</v>
      </c>
      <c r="G18" s="32" t="s">
        <v>101</v>
      </c>
      <c r="H18" s="13" t="s">
        <v>85</v>
      </c>
      <c r="I18" s="32"/>
      <c r="J18" s="32"/>
      <c r="K18" s="4"/>
      <c r="L18" s="4" t="s">
        <v>87</v>
      </c>
    </row>
    <row r="19" spans="1:12" s="20" customFormat="1" x14ac:dyDescent="0.3">
      <c r="A19" s="37">
        <f t="shared" si="0"/>
        <v>10</v>
      </c>
      <c r="B19" s="32"/>
      <c r="C19" s="32"/>
      <c r="D19" s="32"/>
      <c r="E19" s="32"/>
      <c r="F19" s="32" t="s">
        <v>90</v>
      </c>
      <c r="G19" s="32" t="s">
        <v>17</v>
      </c>
      <c r="H19" s="13" t="s">
        <v>85</v>
      </c>
      <c r="I19" s="32"/>
      <c r="J19" s="32"/>
      <c r="K19" s="4"/>
      <c r="L19" s="4" t="s">
        <v>87</v>
      </c>
    </row>
    <row r="20" spans="1:12" s="20" customFormat="1" x14ac:dyDescent="0.3">
      <c r="A20" s="37">
        <f t="shared" si="0"/>
        <v>11</v>
      </c>
      <c r="B20" s="14" t="s">
        <v>114</v>
      </c>
      <c r="C20" s="27"/>
      <c r="D20" s="10"/>
      <c r="E20" s="10"/>
      <c r="F20" s="27" t="s">
        <v>109</v>
      </c>
      <c r="G20" s="3" t="s">
        <v>95</v>
      </c>
      <c r="H20" s="204" t="s">
        <v>85</v>
      </c>
      <c r="I20" s="98" t="s">
        <v>566</v>
      </c>
      <c r="J20" s="32"/>
      <c r="K20" s="4"/>
      <c r="L20" s="4"/>
    </row>
    <row r="21" spans="1:12" s="20" customFormat="1" x14ac:dyDescent="0.3">
      <c r="A21" s="37">
        <f t="shared" si="0"/>
        <v>12</v>
      </c>
      <c r="B21" s="14" t="s">
        <v>114</v>
      </c>
      <c r="C21" s="27"/>
      <c r="D21" s="10"/>
      <c r="E21" s="10"/>
      <c r="F21" s="109" t="s">
        <v>111</v>
      </c>
      <c r="G21" s="12" t="s">
        <v>112</v>
      </c>
      <c r="H21" s="205"/>
      <c r="I21" s="4" t="s">
        <v>567</v>
      </c>
      <c r="J21" s="32"/>
      <c r="K21" s="4"/>
      <c r="L21" s="4" t="s">
        <v>87</v>
      </c>
    </row>
    <row r="22" spans="1:12" x14ac:dyDescent="0.3">
      <c r="A22" s="37">
        <f t="shared" si="0"/>
        <v>13</v>
      </c>
      <c r="B22" s="3" t="s">
        <v>93</v>
      </c>
      <c r="C22" s="4"/>
      <c r="D22" s="4"/>
      <c r="E22" s="4"/>
      <c r="F22" s="27" t="s">
        <v>109</v>
      </c>
      <c r="G22" s="3" t="s">
        <v>95</v>
      </c>
      <c r="H22" s="204" t="s">
        <v>85</v>
      </c>
      <c r="I22" s="98" t="s">
        <v>566</v>
      </c>
      <c r="J22" s="3"/>
      <c r="K22" s="4"/>
      <c r="L22" s="4"/>
    </row>
    <row r="23" spans="1:12" x14ac:dyDescent="0.3">
      <c r="A23" s="37">
        <f t="shared" si="0"/>
        <v>14</v>
      </c>
      <c r="B23" s="3" t="s">
        <v>93</v>
      </c>
      <c r="C23" s="4"/>
      <c r="D23" s="4"/>
      <c r="E23" s="4"/>
      <c r="F23" s="109" t="s">
        <v>111</v>
      </c>
      <c r="G23" s="3" t="s">
        <v>98</v>
      </c>
      <c r="H23" s="205"/>
      <c r="I23" s="4" t="s">
        <v>567</v>
      </c>
      <c r="J23" s="3"/>
      <c r="K23" s="4"/>
      <c r="L23" s="4"/>
    </row>
    <row r="24" spans="1:12" s="20" customFormat="1" x14ac:dyDescent="0.3">
      <c r="A24" s="37">
        <f t="shared" si="0"/>
        <v>15</v>
      </c>
      <c r="B24" s="32"/>
      <c r="C24" s="32"/>
      <c r="D24" s="32"/>
      <c r="E24" s="32"/>
      <c r="F24" s="32" t="s">
        <v>122</v>
      </c>
      <c r="G24" s="32" t="s">
        <v>152</v>
      </c>
      <c r="H24" s="13" t="s">
        <v>85</v>
      </c>
      <c r="I24" s="32"/>
      <c r="J24" s="32"/>
      <c r="K24" s="4"/>
      <c r="L24" s="4" t="s">
        <v>87</v>
      </c>
    </row>
    <row r="25" spans="1:12" s="20" customFormat="1" ht="52.2" customHeight="1" x14ac:dyDescent="0.3">
      <c r="A25" s="37"/>
      <c r="B25" s="32"/>
      <c r="C25" s="32"/>
      <c r="D25" s="32"/>
      <c r="E25" s="32"/>
      <c r="F25" s="3" t="s">
        <v>124</v>
      </c>
      <c r="G25" s="3" t="s">
        <v>101</v>
      </c>
      <c r="H25" s="36" t="s">
        <v>85</v>
      </c>
      <c r="I25" s="16" t="s">
        <v>568</v>
      </c>
      <c r="J25" s="32"/>
      <c r="K25" s="4"/>
      <c r="L25" s="4"/>
    </row>
    <row r="26" spans="1:12" s="20" customFormat="1" ht="45" customHeight="1" x14ac:dyDescent="0.3">
      <c r="A26" s="37"/>
      <c r="B26" s="32"/>
      <c r="C26" s="32"/>
      <c r="D26" s="32"/>
      <c r="E26" s="32"/>
      <c r="F26" s="3" t="s">
        <v>127</v>
      </c>
      <c r="G26" s="3" t="s">
        <v>101</v>
      </c>
      <c r="H26" s="36" t="s">
        <v>85</v>
      </c>
      <c r="I26" s="16" t="s">
        <v>569</v>
      </c>
      <c r="J26" s="32"/>
      <c r="K26" s="4"/>
      <c r="L26" s="4"/>
    </row>
    <row r="27" spans="1:12" x14ac:dyDescent="0.3">
      <c r="A27" s="37">
        <f>A24+1</f>
        <v>16</v>
      </c>
      <c r="B27" s="14"/>
      <c r="C27" s="10"/>
      <c r="D27" s="10"/>
      <c r="E27" s="10"/>
      <c r="F27" s="27" t="s">
        <v>129</v>
      </c>
      <c r="G27" s="11" t="s">
        <v>125</v>
      </c>
      <c r="H27" s="13" t="s">
        <v>85</v>
      </c>
      <c r="I27" s="11"/>
      <c r="J27" s="11"/>
      <c r="K27" s="4"/>
      <c r="L27" s="4" t="s">
        <v>87</v>
      </c>
    </row>
    <row r="28" spans="1:12" x14ac:dyDescent="0.3">
      <c r="A28" s="37">
        <f t="shared" si="0"/>
        <v>17</v>
      </c>
      <c r="B28" s="14"/>
      <c r="C28" s="10"/>
      <c r="D28" s="10"/>
      <c r="E28" s="10"/>
      <c r="F28" s="27" t="s">
        <v>151</v>
      </c>
      <c r="G28" s="11" t="s">
        <v>152</v>
      </c>
      <c r="H28" s="13" t="s">
        <v>85</v>
      </c>
      <c r="I28" s="15"/>
      <c r="J28" s="15"/>
      <c r="K28" s="4"/>
      <c r="L28" s="4" t="s">
        <v>87</v>
      </c>
    </row>
    <row r="29" spans="1:12" x14ac:dyDescent="0.3">
      <c r="A29" s="37">
        <f t="shared" si="0"/>
        <v>18</v>
      </c>
      <c r="B29" s="14"/>
      <c r="C29" s="10"/>
      <c r="D29" s="10"/>
      <c r="E29" s="10"/>
      <c r="F29" s="27" t="s">
        <v>163</v>
      </c>
      <c r="G29" s="11" t="s">
        <v>101</v>
      </c>
      <c r="H29" s="13" t="s">
        <v>85</v>
      </c>
      <c r="I29" s="11"/>
      <c r="J29" s="11"/>
      <c r="K29" s="4"/>
      <c r="L29" s="4" t="s">
        <v>87</v>
      </c>
    </row>
    <row r="30" spans="1:12" x14ac:dyDescent="0.3">
      <c r="A30" s="37">
        <f t="shared" si="0"/>
        <v>19</v>
      </c>
      <c r="B30" s="14"/>
      <c r="C30" s="10"/>
      <c r="D30" s="10"/>
      <c r="E30" s="10"/>
      <c r="F30" s="27" t="s">
        <v>194</v>
      </c>
      <c r="G30" s="11" t="s">
        <v>524</v>
      </c>
      <c r="H30" s="13" t="s">
        <v>85</v>
      </c>
      <c r="I30" s="15"/>
      <c r="J30" s="15"/>
      <c r="K30" s="4"/>
      <c r="L30" s="4" t="s">
        <v>87</v>
      </c>
    </row>
    <row r="31" spans="1:12" x14ac:dyDescent="0.3">
      <c r="A31" s="37">
        <f t="shared" si="0"/>
        <v>20</v>
      </c>
      <c r="B31" s="14"/>
      <c r="C31" s="10"/>
      <c r="D31" s="10"/>
      <c r="E31" s="10"/>
      <c r="F31" s="27" t="s">
        <v>202</v>
      </c>
      <c r="G31" s="11" t="s">
        <v>125</v>
      </c>
      <c r="H31" s="13" t="s">
        <v>85</v>
      </c>
      <c r="I31" s="15"/>
      <c r="J31" s="15"/>
      <c r="K31" s="4"/>
      <c r="L31" s="4" t="s">
        <v>87</v>
      </c>
    </row>
    <row r="32" spans="1:12" x14ac:dyDescent="0.3">
      <c r="A32" s="37">
        <f t="shared" si="0"/>
        <v>21</v>
      </c>
      <c r="B32" s="14"/>
      <c r="C32" s="10"/>
      <c r="D32" s="10"/>
      <c r="E32" s="10"/>
      <c r="F32" s="27" t="s">
        <v>204</v>
      </c>
      <c r="G32" s="11" t="s">
        <v>17</v>
      </c>
      <c r="H32" s="13" t="s">
        <v>85</v>
      </c>
      <c r="I32" s="11"/>
      <c r="J32" s="11"/>
      <c r="K32" s="4"/>
      <c r="L32" s="4" t="s">
        <v>87</v>
      </c>
    </row>
    <row r="33" spans="1:12" x14ac:dyDescent="0.3">
      <c r="A33" s="37">
        <f t="shared" si="0"/>
        <v>22</v>
      </c>
      <c r="B33" s="14"/>
      <c r="C33" s="10"/>
      <c r="D33" s="10"/>
      <c r="E33" s="10"/>
      <c r="F33" s="27" t="s">
        <v>206</v>
      </c>
      <c r="G33" s="11" t="s">
        <v>524</v>
      </c>
      <c r="H33" s="13" t="s">
        <v>85</v>
      </c>
      <c r="I33" s="11"/>
      <c r="J33" s="11"/>
      <c r="K33" s="4"/>
      <c r="L33" s="4" t="s">
        <v>87</v>
      </c>
    </row>
    <row r="34" spans="1:12" x14ac:dyDescent="0.3">
      <c r="A34" s="37">
        <f t="shared" si="0"/>
        <v>23</v>
      </c>
      <c r="B34" s="14"/>
      <c r="C34" s="10"/>
      <c r="D34" s="10"/>
      <c r="E34" s="103"/>
      <c r="F34" s="34" t="s">
        <v>220</v>
      </c>
      <c r="G34" s="11" t="s">
        <v>125</v>
      </c>
      <c r="H34" s="10" t="s">
        <v>85</v>
      </c>
      <c r="I34" s="15"/>
      <c r="J34" s="15"/>
      <c r="K34" s="4"/>
      <c r="L34" s="4" t="s">
        <v>87</v>
      </c>
    </row>
    <row r="35" spans="1:12" x14ac:dyDescent="0.3">
      <c r="A35" s="37">
        <f t="shared" si="0"/>
        <v>24</v>
      </c>
      <c r="B35" s="14"/>
      <c r="C35" s="10"/>
      <c r="D35" s="10"/>
      <c r="E35" s="10"/>
      <c r="F35" s="27" t="s">
        <v>231</v>
      </c>
      <c r="G35" s="11" t="s">
        <v>125</v>
      </c>
      <c r="H35" s="13" t="s">
        <v>85</v>
      </c>
      <c r="I35" s="11"/>
      <c r="J35" s="11"/>
      <c r="K35" s="4"/>
      <c r="L35" s="4" t="s">
        <v>87</v>
      </c>
    </row>
    <row r="36" spans="1:12" x14ac:dyDescent="0.3">
      <c r="A36" s="37">
        <f t="shared" si="0"/>
        <v>25</v>
      </c>
      <c r="B36" s="14"/>
      <c r="C36" s="10"/>
      <c r="D36" s="10"/>
      <c r="E36" s="10"/>
      <c r="F36" s="27" t="s">
        <v>232</v>
      </c>
      <c r="G36" s="11" t="s">
        <v>125</v>
      </c>
      <c r="H36" s="13" t="s">
        <v>85</v>
      </c>
      <c r="I36" s="11"/>
      <c r="J36" s="11"/>
      <c r="K36" s="4"/>
      <c r="L36" s="4" t="s">
        <v>87</v>
      </c>
    </row>
    <row r="37" spans="1:12" x14ac:dyDescent="0.3">
      <c r="A37" s="37">
        <f t="shared" si="0"/>
        <v>26</v>
      </c>
      <c r="B37" s="14"/>
      <c r="C37" s="10"/>
      <c r="D37" s="10"/>
      <c r="E37" s="10"/>
      <c r="F37" s="27" t="s">
        <v>233</v>
      </c>
      <c r="G37" s="11"/>
      <c r="H37" s="13" t="s">
        <v>85</v>
      </c>
      <c r="I37" s="11"/>
      <c r="J37" s="11"/>
      <c r="K37" s="4"/>
      <c r="L37" s="4" t="s">
        <v>87</v>
      </c>
    </row>
    <row r="38" spans="1:12" x14ac:dyDescent="0.3">
      <c r="A38" s="37">
        <f t="shared" si="0"/>
        <v>27</v>
      </c>
      <c r="B38" s="14"/>
      <c r="C38" s="10"/>
      <c r="D38" s="10"/>
      <c r="E38" s="10"/>
      <c r="F38" s="27" t="s">
        <v>234</v>
      </c>
      <c r="G38" s="11"/>
      <c r="H38" s="13" t="s">
        <v>85</v>
      </c>
      <c r="I38" s="11"/>
      <c r="J38" s="11"/>
      <c r="K38" s="4"/>
      <c r="L38" s="4" t="s">
        <v>87</v>
      </c>
    </row>
    <row r="39" spans="1:12" x14ac:dyDescent="0.3">
      <c r="A39" s="37">
        <f t="shared" si="0"/>
        <v>28</v>
      </c>
      <c r="B39" s="14"/>
      <c r="C39" s="10"/>
      <c r="D39" s="10"/>
      <c r="E39" s="10"/>
      <c r="F39" s="27" t="s">
        <v>239</v>
      </c>
      <c r="G39" s="11" t="s">
        <v>101</v>
      </c>
      <c r="H39" s="13" t="s">
        <v>85</v>
      </c>
      <c r="I39" s="11"/>
      <c r="J39" s="11"/>
      <c r="K39" s="4"/>
      <c r="L39" s="4" t="s">
        <v>87</v>
      </c>
    </row>
    <row r="40" spans="1:12" x14ac:dyDescent="0.3">
      <c r="A40" s="37">
        <f t="shared" si="0"/>
        <v>29</v>
      </c>
      <c r="B40" s="14"/>
      <c r="C40" s="10"/>
      <c r="D40" s="10"/>
      <c r="E40" s="10"/>
      <c r="F40" s="27" t="s">
        <v>240</v>
      </c>
      <c r="G40" s="15" t="s">
        <v>241</v>
      </c>
      <c r="H40" s="13" t="s">
        <v>85</v>
      </c>
      <c r="I40" s="11"/>
      <c r="J40" s="11"/>
      <c r="K40" s="4"/>
      <c r="L40" s="4" t="s">
        <v>87</v>
      </c>
    </row>
    <row r="41" spans="1:12" x14ac:dyDescent="0.3">
      <c r="A41" s="37">
        <f t="shared" si="0"/>
        <v>30</v>
      </c>
      <c r="B41" s="14"/>
      <c r="C41" s="10"/>
      <c r="D41" s="10"/>
      <c r="E41" s="10"/>
      <c r="F41" s="27" t="s">
        <v>242</v>
      </c>
      <c r="G41" s="15" t="s">
        <v>241</v>
      </c>
      <c r="H41" s="13" t="s">
        <v>85</v>
      </c>
      <c r="I41" s="11"/>
      <c r="J41" s="11"/>
      <c r="K41" s="4"/>
      <c r="L41" s="4" t="s">
        <v>87</v>
      </c>
    </row>
    <row r="42" spans="1:12" x14ac:dyDescent="0.3">
      <c r="A42" s="37">
        <f t="shared" si="0"/>
        <v>31</v>
      </c>
      <c r="B42" s="14"/>
      <c r="C42" s="10"/>
      <c r="D42" s="10"/>
      <c r="E42" s="10"/>
      <c r="F42" s="27" t="s">
        <v>243</v>
      </c>
      <c r="G42" s="11" t="s">
        <v>125</v>
      </c>
      <c r="H42" s="13" t="s">
        <v>85</v>
      </c>
      <c r="I42" s="11"/>
      <c r="J42" s="11"/>
      <c r="K42" s="4"/>
      <c r="L42" s="4" t="s">
        <v>87</v>
      </c>
    </row>
    <row r="43" spans="1:12" x14ac:dyDescent="0.3">
      <c r="A43" s="37">
        <f t="shared" si="0"/>
        <v>32</v>
      </c>
      <c r="B43" s="14"/>
      <c r="C43" s="10"/>
      <c r="D43" s="10"/>
      <c r="E43" s="10"/>
      <c r="F43" s="27" t="s">
        <v>244</v>
      </c>
      <c r="G43" s="11" t="s">
        <v>125</v>
      </c>
      <c r="H43" s="13" t="s">
        <v>85</v>
      </c>
      <c r="I43" s="11"/>
      <c r="J43" s="11"/>
      <c r="K43" s="4"/>
      <c r="L43" s="4" t="s">
        <v>87</v>
      </c>
    </row>
    <row r="44" spans="1:12" x14ac:dyDescent="0.3">
      <c r="A44" s="37">
        <f t="shared" si="0"/>
        <v>33</v>
      </c>
      <c r="B44" s="14"/>
      <c r="C44" s="10"/>
      <c r="D44" s="10"/>
      <c r="E44" s="10"/>
      <c r="F44" s="27" t="s">
        <v>245</v>
      </c>
      <c r="G44" s="15" t="s">
        <v>246</v>
      </c>
      <c r="H44" s="13" t="s">
        <v>85</v>
      </c>
      <c r="I44" s="11"/>
      <c r="J44" s="11"/>
      <c r="K44" s="4"/>
      <c r="L44" s="4" t="s">
        <v>87</v>
      </c>
    </row>
    <row r="45" spans="1:12" x14ac:dyDescent="0.3">
      <c r="A45" s="37">
        <f t="shared" si="0"/>
        <v>34</v>
      </c>
      <c r="B45" s="14"/>
      <c r="C45" s="10"/>
      <c r="D45" s="10"/>
      <c r="E45" s="10"/>
      <c r="F45" s="27" t="s">
        <v>247</v>
      </c>
      <c r="G45" s="15" t="s">
        <v>246</v>
      </c>
      <c r="H45" s="13" t="s">
        <v>85</v>
      </c>
      <c r="I45" s="11"/>
      <c r="J45" s="11"/>
      <c r="K45" s="4"/>
      <c r="L45" s="4" t="s">
        <v>87</v>
      </c>
    </row>
    <row r="46" spans="1:12" x14ac:dyDescent="0.3">
      <c r="A46" s="37">
        <f t="shared" si="0"/>
        <v>35</v>
      </c>
      <c r="B46" s="14"/>
      <c r="C46" s="10"/>
      <c r="D46" s="10"/>
      <c r="E46" s="10"/>
      <c r="F46" s="27" t="s">
        <v>252</v>
      </c>
      <c r="G46" s="11" t="s">
        <v>101</v>
      </c>
      <c r="H46" s="13" t="s">
        <v>85</v>
      </c>
      <c r="I46" s="11"/>
      <c r="J46" s="11"/>
      <c r="K46" s="4"/>
      <c r="L46" s="4" t="s">
        <v>87</v>
      </c>
    </row>
    <row r="47" spans="1:12" x14ac:dyDescent="0.3">
      <c r="A47" s="37">
        <f t="shared" si="0"/>
        <v>36</v>
      </c>
      <c r="B47" s="14"/>
      <c r="C47" s="10"/>
      <c r="D47" s="10"/>
      <c r="E47" s="10"/>
      <c r="F47" s="27" t="s">
        <v>254</v>
      </c>
      <c r="G47" s="11" t="s">
        <v>101</v>
      </c>
      <c r="H47" s="13" t="s">
        <v>85</v>
      </c>
      <c r="I47" s="11"/>
      <c r="J47" s="11"/>
      <c r="K47" s="4"/>
      <c r="L47" s="4" t="s">
        <v>87</v>
      </c>
    </row>
    <row r="48" spans="1:12" s="20" customFormat="1" x14ac:dyDescent="0.3">
      <c r="A48" s="37">
        <f t="shared" si="0"/>
        <v>37</v>
      </c>
      <c r="B48" s="32"/>
      <c r="C48" s="32"/>
      <c r="D48" s="32"/>
      <c r="E48" s="32"/>
      <c r="F48" s="32" t="s">
        <v>164</v>
      </c>
      <c r="G48" s="32" t="s">
        <v>125</v>
      </c>
      <c r="H48" s="13" t="s">
        <v>85</v>
      </c>
      <c r="I48" s="32"/>
      <c r="J48" s="32"/>
      <c r="K48" s="4"/>
      <c r="L48" s="4" t="s">
        <v>87</v>
      </c>
    </row>
    <row r="49" spans="1:12" s="20" customFormat="1" x14ac:dyDescent="0.3">
      <c r="A49" s="37">
        <f t="shared" si="0"/>
        <v>38</v>
      </c>
      <c r="B49" s="32"/>
      <c r="C49" s="32"/>
      <c r="D49" s="32"/>
      <c r="E49" s="32"/>
      <c r="F49" s="32" t="s">
        <v>100</v>
      </c>
      <c r="G49" s="32" t="s">
        <v>101</v>
      </c>
      <c r="H49" s="13" t="s">
        <v>85</v>
      </c>
      <c r="I49" s="32"/>
      <c r="J49" s="32"/>
      <c r="K49" s="4"/>
      <c r="L49" s="4" t="s">
        <v>87</v>
      </c>
    </row>
    <row r="50" spans="1:12" s="20" customFormat="1" x14ac:dyDescent="0.3">
      <c r="A50" s="37">
        <f t="shared" si="0"/>
        <v>39</v>
      </c>
      <c r="B50" s="32"/>
      <c r="C50" s="32"/>
      <c r="D50" s="32"/>
      <c r="E50" s="32"/>
      <c r="F50" s="32" t="s">
        <v>174</v>
      </c>
      <c r="G50" s="32" t="s">
        <v>101</v>
      </c>
      <c r="H50" s="13" t="s">
        <v>85</v>
      </c>
      <c r="I50" s="32"/>
      <c r="J50" s="32"/>
      <c r="K50" s="4"/>
      <c r="L50" s="4" t="s">
        <v>87</v>
      </c>
    </row>
    <row r="51" spans="1:12" s="20" customFormat="1" x14ac:dyDescent="0.3">
      <c r="A51" s="37">
        <f t="shared" si="0"/>
        <v>40</v>
      </c>
      <c r="B51" s="32"/>
      <c r="C51" s="32"/>
      <c r="D51" s="32"/>
      <c r="E51" s="32"/>
      <c r="F51" s="32" t="s">
        <v>104</v>
      </c>
      <c r="G51" s="32" t="s">
        <v>101</v>
      </c>
      <c r="H51" s="13" t="s">
        <v>85</v>
      </c>
      <c r="I51" s="32"/>
      <c r="J51" s="32"/>
      <c r="K51" s="4"/>
      <c r="L51" s="4" t="s">
        <v>87</v>
      </c>
    </row>
    <row r="52" spans="1:12" s="20" customFormat="1" x14ac:dyDescent="0.3">
      <c r="A52" s="37">
        <f t="shared" si="0"/>
        <v>41</v>
      </c>
      <c r="B52" s="32"/>
      <c r="C52" s="32"/>
      <c r="D52" s="32"/>
      <c r="E52" s="32"/>
      <c r="F52" s="32" t="s">
        <v>131</v>
      </c>
      <c r="G52" s="32" t="s">
        <v>101</v>
      </c>
      <c r="H52" s="13" t="s">
        <v>85</v>
      </c>
      <c r="I52" s="32"/>
      <c r="J52" s="32"/>
      <c r="K52" s="4"/>
      <c r="L52" s="4" t="s">
        <v>87</v>
      </c>
    </row>
    <row r="53" spans="1:12" s="20" customFormat="1" x14ac:dyDescent="0.3">
      <c r="A53" s="37">
        <f t="shared" si="0"/>
        <v>42</v>
      </c>
      <c r="B53" s="32"/>
      <c r="C53" s="32"/>
      <c r="D53" s="32"/>
      <c r="E53" s="32"/>
      <c r="F53" s="32" t="s">
        <v>136</v>
      </c>
      <c r="G53" s="32" t="s">
        <v>17</v>
      </c>
      <c r="H53" s="13" t="s">
        <v>85</v>
      </c>
      <c r="I53" s="32"/>
      <c r="J53" s="32"/>
      <c r="K53" s="4"/>
      <c r="L53" s="4" t="s">
        <v>87</v>
      </c>
    </row>
    <row r="54" spans="1:12" s="20" customFormat="1" x14ac:dyDescent="0.3">
      <c r="A54" s="37">
        <f t="shared" si="0"/>
        <v>43</v>
      </c>
      <c r="B54" s="32"/>
      <c r="C54" s="32"/>
      <c r="D54" s="32"/>
      <c r="E54" s="32"/>
      <c r="F54" s="32" t="s">
        <v>138</v>
      </c>
      <c r="G54" s="32" t="s">
        <v>17</v>
      </c>
      <c r="H54" s="13" t="s">
        <v>85</v>
      </c>
      <c r="I54" s="32"/>
      <c r="J54" s="32"/>
      <c r="K54" s="4"/>
      <c r="L54" s="4" t="s">
        <v>87</v>
      </c>
    </row>
    <row r="55" spans="1:12" s="20" customFormat="1" x14ac:dyDescent="0.3">
      <c r="A55" s="37">
        <f t="shared" si="0"/>
        <v>44</v>
      </c>
      <c r="B55" s="32"/>
      <c r="C55" s="32"/>
      <c r="D55" s="32"/>
      <c r="E55" s="32"/>
      <c r="F55" s="32" t="s">
        <v>141</v>
      </c>
      <c r="G55" s="32" t="s">
        <v>101</v>
      </c>
      <c r="H55" s="13" t="s">
        <v>85</v>
      </c>
      <c r="I55" s="32"/>
      <c r="J55" s="32"/>
      <c r="K55" s="4"/>
      <c r="L55" s="4" t="s">
        <v>87</v>
      </c>
    </row>
    <row r="56" spans="1:12" s="20" customFormat="1" x14ac:dyDescent="0.3">
      <c r="A56" s="37">
        <f t="shared" si="0"/>
        <v>45</v>
      </c>
      <c r="B56" s="32"/>
      <c r="C56" s="32"/>
      <c r="D56" s="32"/>
      <c r="E56" s="32"/>
      <c r="F56" s="32" t="s">
        <v>144</v>
      </c>
      <c r="G56" s="32" t="s">
        <v>101</v>
      </c>
      <c r="H56" s="13" t="s">
        <v>85</v>
      </c>
      <c r="I56" s="32"/>
      <c r="J56" s="32"/>
      <c r="K56" s="4"/>
      <c r="L56" s="4" t="s">
        <v>87</v>
      </c>
    </row>
    <row r="57" spans="1:12" s="20" customFormat="1" x14ac:dyDescent="0.3">
      <c r="A57" s="37">
        <f t="shared" si="0"/>
        <v>46</v>
      </c>
      <c r="B57" s="32"/>
      <c r="C57" s="32"/>
      <c r="D57" s="32"/>
      <c r="E57" s="32"/>
      <c r="F57" s="32" t="s">
        <v>147</v>
      </c>
      <c r="G57" s="32"/>
      <c r="H57" s="13" t="s">
        <v>85</v>
      </c>
      <c r="I57" s="32"/>
      <c r="J57" s="32"/>
      <c r="K57" s="4"/>
      <c r="L57" s="4" t="s">
        <v>87</v>
      </c>
    </row>
    <row r="58" spans="1:12" s="20" customFormat="1" x14ac:dyDescent="0.3">
      <c r="A58" s="37">
        <f t="shared" si="0"/>
        <v>47</v>
      </c>
      <c r="B58" s="32"/>
      <c r="C58" s="32"/>
      <c r="D58" s="32"/>
      <c r="E58" s="32"/>
      <c r="F58" s="32" t="s">
        <v>154</v>
      </c>
      <c r="G58" s="32"/>
      <c r="H58" s="13" t="s">
        <v>85</v>
      </c>
      <c r="I58" s="32"/>
      <c r="J58" s="32"/>
      <c r="K58" s="4"/>
      <c r="L58" s="4" t="s">
        <v>87</v>
      </c>
    </row>
    <row r="59" spans="1:12" s="20" customFormat="1" x14ac:dyDescent="0.3">
      <c r="A59" s="37">
        <f t="shared" si="0"/>
        <v>48</v>
      </c>
      <c r="B59" s="32"/>
      <c r="C59" s="32"/>
      <c r="D59" s="32"/>
      <c r="E59" s="32"/>
      <c r="F59" s="32" t="s">
        <v>156</v>
      </c>
      <c r="G59" s="32" t="s">
        <v>17</v>
      </c>
      <c r="H59" s="13" t="s">
        <v>85</v>
      </c>
      <c r="I59" s="32"/>
      <c r="J59" s="32"/>
      <c r="K59" s="4"/>
      <c r="L59" s="4" t="s">
        <v>87</v>
      </c>
    </row>
    <row r="60" spans="1:12" s="20" customFormat="1" x14ac:dyDescent="0.3">
      <c r="A60" s="37">
        <f t="shared" si="0"/>
        <v>49</v>
      </c>
      <c r="B60" s="32"/>
      <c r="C60" s="32"/>
      <c r="D60" s="32"/>
      <c r="E60" s="32"/>
      <c r="F60" s="32" t="s">
        <v>159</v>
      </c>
      <c r="G60" s="32" t="s">
        <v>101</v>
      </c>
      <c r="H60" s="13" t="s">
        <v>85</v>
      </c>
      <c r="I60" s="32"/>
      <c r="J60" s="32"/>
      <c r="K60" s="4"/>
      <c r="L60" s="4" t="s">
        <v>87</v>
      </c>
    </row>
    <row r="61" spans="1:12" s="20" customFormat="1" x14ac:dyDescent="0.3">
      <c r="A61" s="37">
        <f t="shared" si="0"/>
        <v>50</v>
      </c>
      <c r="B61" s="32"/>
      <c r="C61" s="32"/>
      <c r="D61" s="32"/>
      <c r="E61" s="32"/>
      <c r="F61" s="32" t="s">
        <v>167</v>
      </c>
      <c r="G61" s="32" t="s">
        <v>17</v>
      </c>
      <c r="H61" s="13" t="s">
        <v>85</v>
      </c>
      <c r="I61" s="32"/>
      <c r="J61" s="32"/>
      <c r="K61" s="4"/>
      <c r="L61" s="4" t="s">
        <v>87</v>
      </c>
    </row>
    <row r="62" spans="1:12" s="20" customFormat="1" x14ac:dyDescent="0.3">
      <c r="A62" s="37">
        <f t="shared" si="0"/>
        <v>51</v>
      </c>
      <c r="B62" s="32"/>
      <c r="C62" s="32"/>
      <c r="D62" s="32"/>
      <c r="E62" s="32"/>
      <c r="F62" s="32" t="s">
        <v>170</v>
      </c>
      <c r="G62" s="32" t="s">
        <v>125</v>
      </c>
      <c r="H62" s="13" t="s">
        <v>85</v>
      </c>
      <c r="I62" s="32"/>
      <c r="J62" s="32"/>
      <c r="K62" s="4"/>
      <c r="L62" s="4" t="s">
        <v>87</v>
      </c>
    </row>
    <row r="63" spans="1:12" s="20" customFormat="1" x14ac:dyDescent="0.3">
      <c r="A63" s="37">
        <f t="shared" si="0"/>
        <v>52</v>
      </c>
      <c r="B63" s="32"/>
      <c r="C63" s="32"/>
      <c r="D63" s="32"/>
      <c r="E63" s="32"/>
      <c r="F63" s="32" t="s">
        <v>172</v>
      </c>
      <c r="G63" s="32" t="s">
        <v>125</v>
      </c>
      <c r="H63" s="13" t="s">
        <v>85</v>
      </c>
      <c r="I63" s="32"/>
      <c r="J63" s="32"/>
      <c r="K63" s="4"/>
      <c r="L63" s="4" t="s">
        <v>87</v>
      </c>
    </row>
    <row r="64" spans="1:12" s="20" customFormat="1" x14ac:dyDescent="0.3">
      <c r="A64" s="37">
        <f t="shared" si="0"/>
        <v>53</v>
      </c>
      <c r="B64" s="32"/>
      <c r="C64" s="32"/>
      <c r="D64" s="32"/>
      <c r="E64" s="32"/>
      <c r="F64" s="32" t="s">
        <v>177</v>
      </c>
      <c r="G64" s="32" t="s">
        <v>101</v>
      </c>
      <c r="H64" s="13" t="s">
        <v>85</v>
      </c>
      <c r="I64" s="32"/>
      <c r="J64" s="32"/>
      <c r="K64" s="4"/>
      <c r="L64" s="4" t="s">
        <v>87</v>
      </c>
    </row>
    <row r="65" spans="1:12" s="20" customFormat="1" x14ac:dyDescent="0.3">
      <c r="A65" s="37">
        <f t="shared" si="0"/>
        <v>54</v>
      </c>
      <c r="B65" s="32"/>
      <c r="C65" s="32"/>
      <c r="D65" s="32"/>
      <c r="E65" s="32"/>
      <c r="F65" s="32" t="s">
        <v>180</v>
      </c>
      <c r="G65" s="32" t="s">
        <v>17</v>
      </c>
      <c r="H65" s="13" t="s">
        <v>85</v>
      </c>
      <c r="I65" s="32"/>
      <c r="J65" s="32"/>
      <c r="K65" s="4"/>
      <c r="L65" s="4" t="s">
        <v>87</v>
      </c>
    </row>
    <row r="66" spans="1:12" s="20" customFormat="1" x14ac:dyDescent="0.3">
      <c r="A66" s="37">
        <f t="shared" si="0"/>
        <v>55</v>
      </c>
      <c r="B66" s="32"/>
      <c r="C66" s="32"/>
      <c r="D66" s="32"/>
      <c r="E66" s="32"/>
      <c r="F66" s="32" t="s">
        <v>183</v>
      </c>
      <c r="G66" s="32" t="s">
        <v>101</v>
      </c>
      <c r="H66" s="13" t="s">
        <v>85</v>
      </c>
      <c r="I66" s="32"/>
      <c r="J66" s="32"/>
      <c r="K66" s="4"/>
      <c r="L66" s="4" t="s">
        <v>87</v>
      </c>
    </row>
    <row r="67" spans="1:12" s="20" customFormat="1" x14ac:dyDescent="0.3">
      <c r="A67" s="37">
        <f t="shared" si="0"/>
        <v>56</v>
      </c>
      <c r="B67" s="32"/>
      <c r="C67" s="32"/>
      <c r="D67" s="32"/>
      <c r="E67" s="32"/>
      <c r="F67" s="32" t="s">
        <v>186</v>
      </c>
      <c r="G67" s="32" t="s">
        <v>152</v>
      </c>
      <c r="H67" s="13" t="s">
        <v>85</v>
      </c>
      <c r="I67" s="32"/>
      <c r="J67" s="32"/>
      <c r="K67" s="4"/>
      <c r="L67" s="4" t="s">
        <v>87</v>
      </c>
    </row>
    <row r="68" spans="1:12" s="20" customFormat="1" x14ac:dyDescent="0.3">
      <c r="A68" s="37">
        <f t="shared" si="0"/>
        <v>57</v>
      </c>
      <c r="B68" s="32"/>
      <c r="C68" s="32"/>
      <c r="D68" s="32"/>
      <c r="E68" s="32"/>
      <c r="F68" s="32" t="s">
        <v>188</v>
      </c>
      <c r="G68" s="32" t="s">
        <v>101</v>
      </c>
      <c r="H68" s="13" t="s">
        <v>85</v>
      </c>
      <c r="I68" s="32"/>
      <c r="J68" s="32"/>
      <c r="K68" s="4"/>
      <c r="L68" s="4" t="s">
        <v>87</v>
      </c>
    </row>
    <row r="69" spans="1:12" s="20" customFormat="1" x14ac:dyDescent="0.3">
      <c r="A69" s="37">
        <f t="shared" si="0"/>
        <v>58</v>
      </c>
      <c r="B69" s="32"/>
      <c r="C69" s="32"/>
      <c r="D69" s="32"/>
      <c r="E69" s="32"/>
      <c r="F69" s="32" t="s">
        <v>190</v>
      </c>
      <c r="G69" s="32" t="s">
        <v>125</v>
      </c>
      <c r="H69" s="13" t="s">
        <v>85</v>
      </c>
      <c r="I69" s="32"/>
      <c r="J69" s="32"/>
      <c r="K69" s="4"/>
      <c r="L69" s="4" t="s">
        <v>87</v>
      </c>
    </row>
    <row r="70" spans="1:12" s="20" customFormat="1" x14ac:dyDescent="0.3">
      <c r="A70" s="37">
        <f t="shared" si="0"/>
        <v>59</v>
      </c>
      <c r="B70" s="32"/>
      <c r="C70" s="32"/>
      <c r="D70" s="32"/>
      <c r="E70" s="32"/>
      <c r="F70" s="32" t="s">
        <v>196</v>
      </c>
      <c r="G70" s="32" t="s">
        <v>125</v>
      </c>
      <c r="H70" s="13" t="s">
        <v>85</v>
      </c>
      <c r="I70" s="32"/>
      <c r="J70" s="32"/>
      <c r="K70" s="4"/>
      <c r="L70" s="4" t="s">
        <v>87</v>
      </c>
    </row>
    <row r="71" spans="1:12" s="20" customFormat="1" x14ac:dyDescent="0.3">
      <c r="A71" s="37">
        <f t="shared" si="0"/>
        <v>60</v>
      </c>
      <c r="B71" s="32"/>
      <c r="C71" s="32"/>
      <c r="D71" s="32"/>
      <c r="E71" s="32"/>
      <c r="F71" s="32" t="s">
        <v>198</v>
      </c>
      <c r="G71" s="32" t="s">
        <v>101</v>
      </c>
      <c r="H71" s="13" t="s">
        <v>85</v>
      </c>
      <c r="I71" s="32"/>
      <c r="J71" s="32"/>
      <c r="K71" s="4"/>
      <c r="L71" s="4" t="s">
        <v>87</v>
      </c>
    </row>
    <row r="72" spans="1:12" s="20" customFormat="1" ht="28.8" x14ac:dyDescent="0.3">
      <c r="A72" s="37">
        <f t="shared" si="0"/>
        <v>61</v>
      </c>
      <c r="B72" s="32"/>
      <c r="C72" s="32"/>
      <c r="D72" s="32"/>
      <c r="E72" s="32"/>
      <c r="F72" s="32" t="s">
        <v>209</v>
      </c>
      <c r="G72" s="32" t="s">
        <v>210</v>
      </c>
      <c r="H72" s="13" t="s">
        <v>85</v>
      </c>
      <c r="I72" s="32"/>
      <c r="J72" s="32"/>
      <c r="K72" s="4"/>
      <c r="L72" s="4" t="s">
        <v>87</v>
      </c>
    </row>
    <row r="73" spans="1:12" s="20" customFormat="1" ht="28.8" x14ac:dyDescent="0.3">
      <c r="A73" s="37">
        <f t="shared" si="0"/>
        <v>62</v>
      </c>
      <c r="B73" s="32"/>
      <c r="C73" s="32"/>
      <c r="D73" s="32"/>
      <c r="E73" s="32"/>
      <c r="F73" s="32" t="s">
        <v>211</v>
      </c>
      <c r="G73" s="32" t="s">
        <v>210</v>
      </c>
      <c r="H73" s="13" t="s">
        <v>85</v>
      </c>
      <c r="I73" s="32"/>
      <c r="J73" s="32"/>
      <c r="K73" s="4"/>
      <c r="L73" s="4" t="s">
        <v>87</v>
      </c>
    </row>
    <row r="74" spans="1:12" s="20" customFormat="1" ht="28.8" x14ac:dyDescent="0.3">
      <c r="A74" s="37">
        <f t="shared" si="0"/>
        <v>63</v>
      </c>
      <c r="B74" s="32"/>
      <c r="C74" s="32"/>
      <c r="D74" s="32"/>
      <c r="E74" s="32"/>
      <c r="F74" s="32" t="s">
        <v>213</v>
      </c>
      <c r="G74" s="32" t="s">
        <v>214</v>
      </c>
      <c r="H74" s="13" t="s">
        <v>85</v>
      </c>
      <c r="I74" s="32"/>
      <c r="J74" s="32"/>
      <c r="K74" s="4"/>
      <c r="L74" s="4" t="s">
        <v>87</v>
      </c>
    </row>
    <row r="75" spans="1:12" s="20" customFormat="1" ht="28.8" x14ac:dyDescent="0.3">
      <c r="A75" s="37">
        <f t="shared" si="0"/>
        <v>64</v>
      </c>
      <c r="B75" s="32"/>
      <c r="C75" s="32"/>
      <c r="D75" s="32"/>
      <c r="E75" s="32"/>
      <c r="F75" s="32" t="s">
        <v>215</v>
      </c>
      <c r="G75" s="32" t="s">
        <v>214</v>
      </c>
      <c r="H75" s="13" t="s">
        <v>85</v>
      </c>
      <c r="I75" s="32"/>
      <c r="J75" s="32"/>
      <c r="K75" s="4"/>
      <c r="L75" s="4" t="s">
        <v>87</v>
      </c>
    </row>
    <row r="76" spans="1:12" s="20" customFormat="1" x14ac:dyDescent="0.3">
      <c r="A76" s="37">
        <f t="shared" ref="A76:A143" si="1">A75+1</f>
        <v>65</v>
      </c>
      <c r="B76" s="32"/>
      <c r="C76" s="32"/>
      <c r="D76" s="32"/>
      <c r="E76" s="32"/>
      <c r="F76" s="32" t="s">
        <v>217</v>
      </c>
      <c r="G76" s="32"/>
      <c r="H76" s="13" t="s">
        <v>85</v>
      </c>
      <c r="I76" s="32"/>
      <c r="J76" s="32"/>
      <c r="K76" s="4"/>
      <c r="L76" s="4" t="s">
        <v>87</v>
      </c>
    </row>
    <row r="77" spans="1:12" s="20" customFormat="1" x14ac:dyDescent="0.3">
      <c r="A77" s="37">
        <f t="shared" si="1"/>
        <v>66</v>
      </c>
      <c r="B77" s="32"/>
      <c r="C77" s="32"/>
      <c r="D77" s="32"/>
      <c r="E77" s="32"/>
      <c r="F77" s="32" t="s">
        <v>222</v>
      </c>
      <c r="G77" s="32"/>
      <c r="H77" s="13" t="s">
        <v>85</v>
      </c>
      <c r="I77" s="32"/>
      <c r="J77" s="32"/>
      <c r="K77" s="4"/>
      <c r="L77" s="4" t="s">
        <v>87</v>
      </c>
    </row>
    <row r="78" spans="1:12" s="20" customFormat="1" x14ac:dyDescent="0.3">
      <c r="A78" s="37">
        <f t="shared" si="1"/>
        <v>67</v>
      </c>
      <c r="B78" s="32"/>
      <c r="C78" s="32"/>
      <c r="D78" s="32"/>
      <c r="E78" s="32"/>
      <c r="F78" s="32" t="s">
        <v>223</v>
      </c>
      <c r="G78" s="32"/>
      <c r="H78" s="13" t="s">
        <v>85</v>
      </c>
      <c r="I78" s="32"/>
      <c r="J78" s="32"/>
      <c r="K78" s="4"/>
      <c r="L78" s="4" t="s">
        <v>87</v>
      </c>
    </row>
    <row r="79" spans="1:12" s="20" customFormat="1" x14ac:dyDescent="0.3">
      <c r="A79" s="37">
        <f t="shared" si="1"/>
        <v>68</v>
      </c>
      <c r="B79" s="32"/>
      <c r="C79" s="32"/>
      <c r="D79" s="32"/>
      <c r="E79" s="32"/>
      <c r="F79" s="32" t="s">
        <v>224</v>
      </c>
      <c r="G79" s="32" t="s">
        <v>125</v>
      </c>
      <c r="H79" s="13" t="s">
        <v>85</v>
      </c>
      <c r="I79" s="32"/>
      <c r="J79" s="32"/>
      <c r="K79" s="4"/>
      <c r="L79" s="4" t="s">
        <v>87</v>
      </c>
    </row>
    <row r="80" spans="1:12" s="20" customFormat="1" x14ac:dyDescent="0.3">
      <c r="A80" s="37">
        <f t="shared" si="1"/>
        <v>69</v>
      </c>
      <c r="B80" s="32"/>
      <c r="C80" s="32"/>
      <c r="D80" s="32"/>
      <c r="E80" s="32"/>
      <c r="F80" s="32" t="s">
        <v>227</v>
      </c>
      <c r="G80" s="32" t="s">
        <v>101</v>
      </c>
      <c r="H80" s="13" t="s">
        <v>85</v>
      </c>
      <c r="I80" s="32"/>
      <c r="J80" s="32"/>
      <c r="K80" s="4"/>
      <c r="L80" s="4" t="s">
        <v>87</v>
      </c>
    </row>
    <row r="81" spans="1:17" s="20" customFormat="1" x14ac:dyDescent="0.3">
      <c r="A81" s="37">
        <f t="shared" si="1"/>
        <v>70</v>
      </c>
      <c r="B81" s="32"/>
      <c r="C81" s="32"/>
      <c r="D81" s="32"/>
      <c r="E81" s="32"/>
      <c r="F81" s="32" t="s">
        <v>235</v>
      </c>
      <c r="G81" s="32" t="s">
        <v>125</v>
      </c>
      <c r="H81" s="13" t="s">
        <v>85</v>
      </c>
      <c r="I81" s="32"/>
      <c r="J81" s="32"/>
      <c r="K81" s="4"/>
      <c r="L81" s="4" t="s">
        <v>87</v>
      </c>
    </row>
    <row r="82" spans="1:17" s="20" customFormat="1" x14ac:dyDescent="0.3">
      <c r="A82" s="37">
        <f t="shared" si="1"/>
        <v>71</v>
      </c>
      <c r="B82" s="32"/>
      <c r="C82" s="32"/>
      <c r="D82" s="32"/>
      <c r="E82" s="32"/>
      <c r="F82" s="32" t="s">
        <v>237</v>
      </c>
      <c r="G82" s="32" t="s">
        <v>125</v>
      </c>
      <c r="H82" s="13" t="s">
        <v>85</v>
      </c>
      <c r="I82" s="32"/>
      <c r="J82" s="32"/>
      <c r="K82" s="4"/>
      <c r="L82" s="4" t="s">
        <v>87</v>
      </c>
    </row>
    <row r="83" spans="1:17" s="20" customFormat="1" x14ac:dyDescent="0.3">
      <c r="A83" s="37">
        <f t="shared" si="1"/>
        <v>72</v>
      </c>
      <c r="B83" s="32"/>
      <c r="C83" s="32"/>
      <c r="D83" s="32"/>
      <c r="E83" s="32"/>
      <c r="F83" s="32" t="s">
        <v>248</v>
      </c>
      <c r="G83" s="32" t="s">
        <v>261</v>
      </c>
      <c r="H83" s="13" t="s">
        <v>85</v>
      </c>
      <c r="I83" s="32"/>
      <c r="J83" s="32"/>
      <c r="K83" s="4"/>
      <c r="L83" s="4" t="s">
        <v>87</v>
      </c>
    </row>
    <row r="84" spans="1:17" s="20" customFormat="1" x14ac:dyDescent="0.3">
      <c r="A84" s="37">
        <f t="shared" si="1"/>
        <v>73</v>
      </c>
      <c r="B84" s="32"/>
      <c r="C84" s="32"/>
      <c r="D84" s="32"/>
      <c r="E84" s="32"/>
      <c r="F84" s="32" t="s">
        <v>249</v>
      </c>
      <c r="G84" s="32" t="s">
        <v>125</v>
      </c>
      <c r="H84" s="13" t="s">
        <v>85</v>
      </c>
      <c r="I84" s="32"/>
      <c r="J84" s="32"/>
      <c r="K84" s="4"/>
      <c r="L84" s="4" t="s">
        <v>87</v>
      </c>
    </row>
    <row r="85" spans="1:17" s="20" customFormat="1" x14ac:dyDescent="0.3">
      <c r="A85" s="37">
        <f t="shared" si="1"/>
        <v>74</v>
      </c>
      <c r="B85" s="32"/>
      <c r="C85" s="32"/>
      <c r="D85" s="32"/>
      <c r="E85" s="32"/>
      <c r="F85" s="32" t="s">
        <v>250</v>
      </c>
      <c r="G85" s="32" t="s">
        <v>152</v>
      </c>
      <c r="H85" s="13" t="s">
        <v>85</v>
      </c>
      <c r="I85" s="32"/>
      <c r="J85" s="32"/>
      <c r="K85" s="4"/>
      <c r="L85" s="4" t="s">
        <v>87</v>
      </c>
    </row>
    <row r="86" spans="1:17" s="20" customFormat="1" x14ac:dyDescent="0.3">
      <c r="A86" s="37">
        <f t="shared" si="1"/>
        <v>75</v>
      </c>
      <c r="B86" s="32"/>
      <c r="C86" s="32"/>
      <c r="D86" s="32"/>
      <c r="E86" s="32"/>
      <c r="F86" s="32" t="s">
        <v>251</v>
      </c>
      <c r="G86" s="32" t="s">
        <v>261</v>
      </c>
      <c r="H86" s="13" t="s">
        <v>85</v>
      </c>
      <c r="I86" s="32"/>
      <c r="J86" s="32"/>
      <c r="K86" s="4"/>
      <c r="L86" s="4" t="s">
        <v>87</v>
      </c>
    </row>
    <row r="87" spans="1:17" s="20" customFormat="1" x14ac:dyDescent="0.3">
      <c r="A87" s="37">
        <f t="shared" si="1"/>
        <v>76</v>
      </c>
      <c r="B87" s="32"/>
      <c r="C87" s="32"/>
      <c r="D87" s="32"/>
      <c r="E87" s="32"/>
      <c r="F87" s="32" t="s">
        <v>256</v>
      </c>
      <c r="G87" s="32" t="s">
        <v>125</v>
      </c>
      <c r="H87" s="13" t="s">
        <v>85</v>
      </c>
      <c r="I87" s="32"/>
      <c r="J87" s="32"/>
      <c r="K87" s="4"/>
      <c r="L87" s="4" t="s">
        <v>87</v>
      </c>
    </row>
    <row r="88" spans="1:17" s="20" customFormat="1" x14ac:dyDescent="0.3">
      <c r="A88" s="37">
        <f t="shared" si="1"/>
        <v>77</v>
      </c>
      <c r="B88" s="32"/>
      <c r="C88" s="32"/>
      <c r="D88" s="32"/>
      <c r="E88" s="32"/>
      <c r="F88" s="32" t="s">
        <v>257</v>
      </c>
      <c r="G88" s="32" t="s">
        <v>125</v>
      </c>
      <c r="H88" s="13" t="s">
        <v>85</v>
      </c>
      <c r="I88" s="32"/>
      <c r="J88" s="32"/>
      <c r="K88" s="4"/>
      <c r="L88" s="4" t="s">
        <v>87</v>
      </c>
    </row>
    <row r="89" spans="1:17" x14ac:dyDescent="0.3">
      <c r="A89" s="37" cm="1">
        <f t="array" aca="1" ref="A89" ca="1">INDIRECT(ADDRESS(ROW()-1,COLUMN()))+1</f>
        <v>78</v>
      </c>
      <c r="B89" s="14"/>
      <c r="C89" s="10"/>
      <c r="D89" s="10"/>
      <c r="E89" s="10"/>
      <c r="F89" s="27" t="s">
        <v>255</v>
      </c>
      <c r="G89" s="11" t="s">
        <v>125</v>
      </c>
      <c r="H89" s="13" t="s">
        <v>85</v>
      </c>
      <c r="I89" s="11"/>
      <c r="J89" s="11"/>
      <c r="K89" s="4"/>
      <c r="L89" s="4" t="s">
        <v>87</v>
      </c>
      <c r="M89" s="11"/>
      <c r="N89" s="12"/>
      <c r="O89" s="4"/>
      <c r="P89" s="50"/>
      <c r="Q89" s="3"/>
    </row>
    <row r="90" spans="1:17" s="20" customFormat="1" x14ac:dyDescent="0.3">
      <c r="A90" s="37" cm="1">
        <f t="array" aca="1" ref="A90" ca="1">INDIRECT(ADDRESS(ROW()-1,COLUMN()))+1</f>
        <v>79</v>
      </c>
      <c r="B90" s="32"/>
      <c r="C90" s="32"/>
      <c r="D90" s="32"/>
      <c r="E90" s="32"/>
      <c r="F90" s="32" t="s">
        <v>258</v>
      </c>
      <c r="G90" s="32" t="s">
        <v>101</v>
      </c>
      <c r="H90" s="13" t="s">
        <v>85</v>
      </c>
      <c r="I90" s="32"/>
      <c r="J90" s="32"/>
      <c r="K90" s="4"/>
      <c r="L90" s="4" t="s">
        <v>87</v>
      </c>
    </row>
    <row r="91" spans="1:17" s="20" customFormat="1" x14ac:dyDescent="0.3">
      <c r="A91" s="37">
        <f t="shared" ca="1" si="1"/>
        <v>80</v>
      </c>
      <c r="B91" s="32"/>
      <c r="C91" s="32"/>
      <c r="D91" s="32"/>
      <c r="E91" s="32"/>
      <c r="F91" s="32" t="s">
        <v>259</v>
      </c>
      <c r="G91" s="32" t="s">
        <v>101</v>
      </c>
      <c r="H91" s="13" t="s">
        <v>85</v>
      </c>
      <c r="I91" s="32"/>
      <c r="J91" s="32"/>
      <c r="K91" s="4"/>
      <c r="L91" s="4" t="s">
        <v>87</v>
      </c>
    </row>
    <row r="92" spans="1:17" s="20" customFormat="1" x14ac:dyDescent="0.3">
      <c r="A92" s="37">
        <f t="shared" ca="1" si="1"/>
        <v>81</v>
      </c>
      <c r="B92" s="32"/>
      <c r="C92" s="32"/>
      <c r="D92" s="32"/>
      <c r="E92" s="32"/>
      <c r="F92" s="32" t="s">
        <v>260</v>
      </c>
      <c r="G92" s="32" t="s">
        <v>261</v>
      </c>
      <c r="H92" s="13" t="s">
        <v>85</v>
      </c>
      <c r="I92" s="32"/>
      <c r="J92" s="32"/>
      <c r="K92" s="4"/>
      <c r="L92" s="4" t="s">
        <v>87</v>
      </c>
    </row>
    <row r="93" spans="1:17" s="20" customFormat="1" x14ac:dyDescent="0.3">
      <c r="A93" s="37">
        <f t="shared" ca="1" si="1"/>
        <v>82</v>
      </c>
      <c r="B93" s="32"/>
      <c r="C93" s="32"/>
      <c r="D93" s="32"/>
      <c r="E93" s="32"/>
      <c r="F93" s="32" t="s">
        <v>262</v>
      </c>
      <c r="G93" s="32" t="s">
        <v>261</v>
      </c>
      <c r="H93" s="13" t="s">
        <v>85</v>
      </c>
      <c r="I93" s="32"/>
      <c r="J93" s="32"/>
      <c r="K93" s="4"/>
      <c r="L93" s="4" t="s">
        <v>87</v>
      </c>
    </row>
    <row r="94" spans="1:17" s="20" customFormat="1" x14ac:dyDescent="0.3">
      <c r="A94" s="37">
        <f t="shared" ca="1" si="1"/>
        <v>83</v>
      </c>
      <c r="B94" s="32"/>
      <c r="C94" s="32"/>
      <c r="D94" s="32"/>
      <c r="E94" s="32"/>
      <c r="F94" s="32" t="s">
        <v>263</v>
      </c>
      <c r="G94" s="32" t="s">
        <v>125</v>
      </c>
      <c r="H94" s="13" t="s">
        <v>85</v>
      </c>
      <c r="I94" s="32"/>
      <c r="J94" s="32"/>
      <c r="K94" s="4"/>
      <c r="L94" s="4" t="s">
        <v>87</v>
      </c>
    </row>
    <row r="95" spans="1:17" s="20" customFormat="1" x14ac:dyDescent="0.3">
      <c r="A95" s="37">
        <f t="shared" ca="1" si="1"/>
        <v>84</v>
      </c>
      <c r="B95" s="32"/>
      <c r="C95" s="32"/>
      <c r="D95" s="32"/>
      <c r="E95" s="32"/>
      <c r="F95" s="32" t="s">
        <v>264</v>
      </c>
      <c r="G95" s="32" t="s">
        <v>152</v>
      </c>
      <c r="H95" s="13" t="s">
        <v>85</v>
      </c>
      <c r="I95" s="32"/>
      <c r="J95" s="32"/>
      <c r="K95" s="4"/>
      <c r="L95" s="4" t="s">
        <v>87</v>
      </c>
    </row>
    <row r="96" spans="1:17" s="20" customFormat="1" x14ac:dyDescent="0.3">
      <c r="A96" s="37">
        <f t="shared" ca="1" si="1"/>
        <v>85</v>
      </c>
      <c r="B96" s="32"/>
      <c r="C96" s="32"/>
      <c r="D96" s="32"/>
      <c r="E96" s="32"/>
      <c r="F96" s="32" t="s">
        <v>265</v>
      </c>
      <c r="G96" s="32" t="s">
        <v>152</v>
      </c>
      <c r="H96" s="13" t="s">
        <v>85</v>
      </c>
      <c r="I96" s="32"/>
      <c r="J96" s="32"/>
      <c r="K96" s="4"/>
      <c r="L96" s="4" t="s">
        <v>87</v>
      </c>
    </row>
    <row r="97" spans="1:12" s="20" customFormat="1" x14ac:dyDescent="0.3">
      <c r="A97" s="37">
        <f t="shared" ca="1" si="1"/>
        <v>86</v>
      </c>
      <c r="B97" s="32"/>
      <c r="C97" s="32"/>
      <c r="D97" s="32"/>
      <c r="E97" s="32"/>
      <c r="F97" s="32" t="s">
        <v>266</v>
      </c>
      <c r="G97" s="32" t="s">
        <v>261</v>
      </c>
      <c r="H97" s="13" t="s">
        <v>85</v>
      </c>
      <c r="I97" s="32"/>
      <c r="J97" s="32"/>
      <c r="K97" s="4"/>
      <c r="L97" s="4" t="s">
        <v>87</v>
      </c>
    </row>
    <row r="98" spans="1:12" s="20" customFormat="1" x14ac:dyDescent="0.3">
      <c r="A98" s="37">
        <f t="shared" ca="1" si="1"/>
        <v>87</v>
      </c>
      <c r="B98" s="32"/>
      <c r="C98" s="32"/>
      <c r="D98" s="32"/>
      <c r="E98" s="32"/>
      <c r="F98" s="32" t="s">
        <v>267</v>
      </c>
      <c r="G98" s="32" t="s">
        <v>125</v>
      </c>
      <c r="H98" s="13" t="s">
        <v>85</v>
      </c>
      <c r="I98" s="32"/>
      <c r="J98" s="32"/>
      <c r="K98" s="4"/>
      <c r="L98" s="4" t="s">
        <v>87</v>
      </c>
    </row>
    <row r="99" spans="1:12" s="20" customFormat="1" x14ac:dyDescent="0.3">
      <c r="A99" s="37">
        <f t="shared" ca="1" si="1"/>
        <v>88</v>
      </c>
      <c r="B99" s="32"/>
      <c r="C99" s="32"/>
      <c r="D99" s="32"/>
      <c r="E99" s="32"/>
      <c r="F99" s="32" t="s">
        <v>268</v>
      </c>
      <c r="G99" s="32" t="s">
        <v>125</v>
      </c>
      <c r="H99" s="13" t="s">
        <v>85</v>
      </c>
      <c r="I99" s="32"/>
      <c r="J99" s="32"/>
      <c r="K99" s="4"/>
      <c r="L99" s="4" t="s">
        <v>87</v>
      </c>
    </row>
    <row r="100" spans="1:12" s="20" customFormat="1" x14ac:dyDescent="0.3">
      <c r="A100" s="37">
        <f t="shared" ca="1" si="1"/>
        <v>89</v>
      </c>
      <c r="B100" s="32"/>
      <c r="C100" s="32"/>
      <c r="D100" s="32"/>
      <c r="E100" s="32"/>
      <c r="F100" s="148" t="s">
        <v>269</v>
      </c>
      <c r="G100" s="147" t="s">
        <v>101</v>
      </c>
      <c r="H100" s="13" t="s">
        <v>85</v>
      </c>
      <c r="I100" s="32"/>
      <c r="J100" s="32"/>
      <c r="K100" s="4"/>
      <c r="L100" s="4" t="s">
        <v>87</v>
      </c>
    </row>
    <row r="101" spans="1:12" s="20" customFormat="1" x14ac:dyDescent="0.3">
      <c r="A101" s="37">
        <f t="shared" ca="1" si="1"/>
        <v>90</v>
      </c>
      <c r="B101" s="32"/>
      <c r="C101" s="32"/>
      <c r="D101" s="32"/>
      <c r="E101" s="32"/>
      <c r="F101" s="148" t="s">
        <v>270</v>
      </c>
      <c r="G101" s="147" t="s">
        <v>125</v>
      </c>
      <c r="H101" s="13" t="s">
        <v>85</v>
      </c>
      <c r="I101" s="32"/>
      <c r="J101" s="32"/>
      <c r="K101" s="4"/>
      <c r="L101" s="4" t="s">
        <v>87</v>
      </c>
    </row>
    <row r="102" spans="1:12" s="20" customFormat="1" x14ac:dyDescent="0.3">
      <c r="A102" s="37">
        <f t="shared" ca="1" si="1"/>
        <v>91</v>
      </c>
      <c r="B102" s="32"/>
      <c r="C102" s="32"/>
      <c r="D102" s="32"/>
      <c r="E102" s="32"/>
      <c r="F102" s="148" t="s">
        <v>271</v>
      </c>
      <c r="G102" s="147" t="s">
        <v>152</v>
      </c>
      <c r="H102" s="13" t="s">
        <v>85</v>
      </c>
      <c r="I102" s="32"/>
      <c r="J102" s="32"/>
      <c r="K102" s="4"/>
      <c r="L102" s="4" t="s">
        <v>87</v>
      </c>
    </row>
    <row r="103" spans="1:12" s="20" customFormat="1" x14ac:dyDescent="0.3">
      <c r="A103" s="37">
        <f t="shared" ca="1" si="1"/>
        <v>92</v>
      </c>
      <c r="B103" s="32"/>
      <c r="C103" s="32"/>
      <c r="D103" s="32"/>
      <c r="E103" s="32"/>
      <c r="F103" s="148" t="s">
        <v>272</v>
      </c>
      <c r="G103" s="147" t="s">
        <v>125</v>
      </c>
      <c r="H103" s="13" t="s">
        <v>85</v>
      </c>
      <c r="I103" s="32"/>
      <c r="J103" s="32"/>
      <c r="K103" s="4"/>
      <c r="L103" s="4" t="s">
        <v>87</v>
      </c>
    </row>
    <row r="104" spans="1:12" s="20" customFormat="1" x14ac:dyDescent="0.3">
      <c r="A104" s="37">
        <f t="shared" ca="1" si="1"/>
        <v>93</v>
      </c>
      <c r="B104" s="32"/>
      <c r="C104" s="32"/>
      <c r="D104" s="32"/>
      <c r="E104" s="32"/>
      <c r="F104" s="148" t="s">
        <v>273</v>
      </c>
      <c r="G104" s="147" t="s">
        <v>125</v>
      </c>
      <c r="H104" s="13" t="s">
        <v>85</v>
      </c>
      <c r="I104" s="32"/>
      <c r="J104" s="32"/>
      <c r="K104" s="4"/>
      <c r="L104" s="4" t="s">
        <v>87</v>
      </c>
    </row>
    <row r="105" spans="1:12" s="20" customFormat="1" x14ac:dyDescent="0.3">
      <c r="A105" s="37">
        <f t="shared" ca="1" si="1"/>
        <v>94</v>
      </c>
      <c r="B105" s="32"/>
      <c r="C105" s="32"/>
      <c r="D105" s="32"/>
      <c r="E105" s="32"/>
      <c r="F105" s="148" t="s">
        <v>274</v>
      </c>
      <c r="G105" s="147" t="s">
        <v>101</v>
      </c>
      <c r="H105" s="13" t="s">
        <v>85</v>
      </c>
      <c r="I105" s="32"/>
      <c r="J105" s="32"/>
      <c r="K105" s="4"/>
      <c r="L105" s="4" t="s">
        <v>87</v>
      </c>
    </row>
    <row r="106" spans="1:12" s="20" customFormat="1" x14ac:dyDescent="0.3">
      <c r="A106" s="37">
        <f t="shared" ca="1" si="1"/>
        <v>95</v>
      </c>
      <c r="B106" s="32"/>
      <c r="C106" s="32"/>
      <c r="D106" s="32"/>
      <c r="E106" s="32"/>
      <c r="F106" s="148" t="s">
        <v>275</v>
      </c>
      <c r="G106" s="147" t="s">
        <v>17</v>
      </c>
      <c r="H106" s="13" t="s">
        <v>85</v>
      </c>
      <c r="I106" s="32"/>
      <c r="J106" s="32"/>
      <c r="K106" s="4"/>
      <c r="L106" s="4" t="s">
        <v>87</v>
      </c>
    </row>
    <row r="107" spans="1:12" s="20" customFormat="1" x14ac:dyDescent="0.3">
      <c r="A107" s="37">
        <f t="shared" ca="1" si="1"/>
        <v>96</v>
      </c>
      <c r="B107" s="32"/>
      <c r="C107" s="32"/>
      <c r="D107" s="32"/>
      <c r="E107" s="32"/>
      <c r="F107" s="148" t="s">
        <v>276</v>
      </c>
      <c r="G107" s="147" t="s">
        <v>125</v>
      </c>
      <c r="H107" s="13" t="s">
        <v>85</v>
      </c>
      <c r="I107" s="32"/>
      <c r="J107" s="32"/>
      <c r="K107" s="4"/>
      <c r="L107" s="4" t="s">
        <v>87</v>
      </c>
    </row>
    <row r="108" spans="1:12" s="20" customFormat="1" x14ac:dyDescent="0.3">
      <c r="A108" s="37">
        <f t="shared" ca="1" si="1"/>
        <v>97</v>
      </c>
      <c r="B108" s="32"/>
      <c r="C108" s="32"/>
      <c r="D108" s="32"/>
      <c r="E108" s="32"/>
      <c r="F108" s="148" t="s">
        <v>277</v>
      </c>
      <c r="G108" s="147" t="s">
        <v>17</v>
      </c>
      <c r="H108" s="13" t="s">
        <v>85</v>
      </c>
      <c r="I108" s="32"/>
      <c r="J108" s="32"/>
      <c r="K108" s="4"/>
      <c r="L108" s="4" t="s">
        <v>87</v>
      </c>
    </row>
    <row r="109" spans="1:12" s="20" customFormat="1" x14ac:dyDescent="0.3">
      <c r="A109" s="37">
        <f t="shared" ca="1" si="1"/>
        <v>98</v>
      </c>
      <c r="B109" s="32"/>
      <c r="C109" s="32"/>
      <c r="D109" s="32"/>
      <c r="E109" s="32"/>
      <c r="F109" s="148" t="s">
        <v>278</v>
      </c>
      <c r="G109" s="147" t="s">
        <v>125</v>
      </c>
      <c r="H109" s="13" t="s">
        <v>85</v>
      </c>
      <c r="I109" s="32"/>
      <c r="J109" s="32"/>
      <c r="K109" s="4"/>
      <c r="L109" s="4" t="s">
        <v>87</v>
      </c>
    </row>
    <row r="110" spans="1:12" s="20" customFormat="1" x14ac:dyDescent="0.3">
      <c r="A110" s="37">
        <f t="shared" ca="1" si="1"/>
        <v>99</v>
      </c>
      <c r="B110" s="32"/>
      <c r="C110" s="32"/>
      <c r="D110" s="32"/>
      <c r="E110" s="32"/>
      <c r="F110" s="148" t="s">
        <v>279</v>
      </c>
      <c r="G110" s="147" t="s">
        <v>152</v>
      </c>
      <c r="H110" s="13" t="s">
        <v>85</v>
      </c>
      <c r="I110" s="32"/>
      <c r="J110" s="32"/>
      <c r="K110" s="4"/>
      <c r="L110" s="4" t="s">
        <v>87</v>
      </c>
    </row>
    <row r="111" spans="1:12" s="20" customFormat="1" x14ac:dyDescent="0.3">
      <c r="A111" s="37">
        <f t="shared" ca="1" si="1"/>
        <v>100</v>
      </c>
      <c r="B111" s="32"/>
      <c r="C111" s="32"/>
      <c r="D111" s="32"/>
      <c r="E111" s="32"/>
      <c r="F111" s="148" t="s">
        <v>280</v>
      </c>
      <c r="G111" s="147" t="s">
        <v>152</v>
      </c>
      <c r="H111" s="13" t="s">
        <v>85</v>
      </c>
      <c r="I111" s="32"/>
      <c r="J111" s="32"/>
      <c r="K111" s="4"/>
      <c r="L111" s="4" t="s">
        <v>87</v>
      </c>
    </row>
    <row r="112" spans="1:12" s="20" customFormat="1" x14ac:dyDescent="0.3">
      <c r="A112" s="37">
        <f t="shared" ca="1" si="1"/>
        <v>101</v>
      </c>
      <c r="B112" s="32"/>
      <c r="C112" s="32"/>
      <c r="D112" s="32"/>
      <c r="E112" s="32"/>
      <c r="F112" s="148" t="s">
        <v>281</v>
      </c>
      <c r="G112" s="147" t="s">
        <v>152</v>
      </c>
      <c r="H112" s="13" t="s">
        <v>85</v>
      </c>
      <c r="I112" s="32"/>
      <c r="J112" s="32"/>
      <c r="K112" s="4"/>
      <c r="L112" s="4" t="s">
        <v>87</v>
      </c>
    </row>
    <row r="113" spans="1:12" s="20" customFormat="1" x14ac:dyDescent="0.3">
      <c r="A113" s="37">
        <f t="shared" ca="1" si="1"/>
        <v>102</v>
      </c>
      <c r="B113" s="32"/>
      <c r="C113" s="32"/>
      <c r="D113" s="32"/>
      <c r="E113" s="32"/>
      <c r="F113" s="148" t="s">
        <v>282</v>
      </c>
      <c r="G113" s="147" t="s">
        <v>152</v>
      </c>
      <c r="H113" s="13" t="s">
        <v>85</v>
      </c>
      <c r="I113" s="32"/>
      <c r="J113" s="32"/>
      <c r="K113" s="4"/>
      <c r="L113" s="4" t="s">
        <v>87</v>
      </c>
    </row>
    <row r="114" spans="1:12" s="20" customFormat="1" x14ac:dyDescent="0.3">
      <c r="A114" s="37">
        <f t="shared" ca="1" si="1"/>
        <v>103</v>
      </c>
      <c r="B114" s="32"/>
      <c r="C114" s="32"/>
      <c r="D114" s="32"/>
      <c r="E114" s="32"/>
      <c r="F114" s="148" t="s">
        <v>283</v>
      </c>
      <c r="G114" s="147" t="s">
        <v>125</v>
      </c>
      <c r="H114" s="13" t="s">
        <v>85</v>
      </c>
      <c r="I114" s="32"/>
      <c r="J114" s="32"/>
      <c r="K114" s="4"/>
      <c r="L114" s="4" t="s">
        <v>87</v>
      </c>
    </row>
    <row r="115" spans="1:12" x14ac:dyDescent="0.3">
      <c r="A115" s="37">
        <f t="shared" ca="1" si="1"/>
        <v>104</v>
      </c>
      <c r="B115" s="3"/>
      <c r="C115" s="10"/>
      <c r="D115" s="10"/>
      <c r="E115" s="10"/>
      <c r="F115" s="230" t="s">
        <v>570</v>
      </c>
      <c r="G115" s="230" t="s">
        <v>101</v>
      </c>
      <c r="H115" s="13" t="s">
        <v>82</v>
      </c>
      <c r="I115" s="11" t="s">
        <v>571</v>
      </c>
      <c r="J115" s="3"/>
      <c r="K115" s="3"/>
      <c r="L115" s="4"/>
    </row>
    <row r="116" spans="1:12" s="20" customFormat="1" ht="28.8" x14ac:dyDescent="0.3">
      <c r="A116" s="37">
        <f t="shared" ca="1" si="1"/>
        <v>105</v>
      </c>
      <c r="B116" s="32"/>
      <c r="C116" s="32"/>
      <c r="D116" s="32"/>
      <c r="E116" s="32"/>
      <c r="F116" s="148" t="s">
        <v>491</v>
      </c>
      <c r="G116" s="147" t="s">
        <v>17</v>
      </c>
      <c r="H116" s="13" t="s">
        <v>82</v>
      </c>
      <c r="I116" s="32" t="s">
        <v>572</v>
      </c>
      <c r="J116" s="32"/>
      <c r="K116" s="4"/>
      <c r="L116" s="4" t="s">
        <v>87</v>
      </c>
    </row>
    <row r="117" spans="1:12" s="20" customFormat="1" x14ac:dyDescent="0.3">
      <c r="A117" s="37">
        <f t="shared" ca="1" si="1"/>
        <v>106</v>
      </c>
      <c r="B117" s="32"/>
      <c r="C117" s="32"/>
      <c r="D117" s="32"/>
      <c r="E117" s="32"/>
      <c r="F117" s="32" t="s">
        <v>192</v>
      </c>
      <c r="G117" s="32" t="s">
        <v>101</v>
      </c>
      <c r="H117" s="13" t="s">
        <v>85</v>
      </c>
      <c r="I117" s="32"/>
      <c r="J117" s="32"/>
      <c r="K117" s="4"/>
      <c r="L117" s="4" t="s">
        <v>87</v>
      </c>
    </row>
    <row r="118" spans="1:12" s="20" customFormat="1" ht="72" x14ac:dyDescent="0.3">
      <c r="A118" s="37"/>
      <c r="B118" s="32"/>
      <c r="C118" s="32"/>
      <c r="D118" s="32"/>
      <c r="E118" s="32"/>
      <c r="F118" s="231" t="s">
        <v>684</v>
      </c>
      <c r="G118" s="231" t="s">
        <v>125</v>
      </c>
      <c r="H118" s="72" t="s">
        <v>82</v>
      </c>
      <c r="I118" s="55" t="s">
        <v>687</v>
      </c>
      <c r="K118" s="229"/>
      <c r="L118" s="229"/>
    </row>
    <row r="119" spans="1:12" s="20" customFormat="1" ht="28.8" x14ac:dyDescent="0.3">
      <c r="A119" s="37"/>
      <c r="B119" s="32"/>
      <c r="C119" s="32"/>
      <c r="D119" s="32"/>
      <c r="E119" s="32"/>
      <c r="F119" s="231" t="s">
        <v>685</v>
      </c>
      <c r="G119" s="231" t="s">
        <v>101</v>
      </c>
      <c r="H119" s="72" t="s">
        <v>82</v>
      </c>
      <c r="I119" s="55" t="s">
        <v>686</v>
      </c>
      <c r="K119" s="229"/>
      <c r="L119" s="229"/>
    </row>
    <row r="120" spans="1:12" s="20" customFormat="1" x14ac:dyDescent="0.3">
      <c r="A120" s="37">
        <f ca="1">A117+1</f>
        <v>107</v>
      </c>
      <c r="B120" s="32" t="s">
        <v>314</v>
      </c>
      <c r="C120" s="32"/>
      <c r="D120" s="32"/>
      <c r="E120" s="32"/>
      <c r="F120" s="32" t="s">
        <v>315</v>
      </c>
      <c r="G120" s="32" t="s">
        <v>101</v>
      </c>
      <c r="H120" s="13" t="s">
        <v>85</v>
      </c>
      <c r="I120" s="32"/>
      <c r="J120" s="32"/>
    </row>
    <row r="121" spans="1:12" s="20" customFormat="1" x14ac:dyDescent="0.3">
      <c r="A121" s="37">
        <f t="shared" ca="1" si="1"/>
        <v>108</v>
      </c>
      <c r="B121" s="32" t="s">
        <v>314</v>
      </c>
      <c r="C121" s="32"/>
      <c r="D121" s="32"/>
      <c r="E121" s="32"/>
      <c r="F121" s="32" t="s">
        <v>186</v>
      </c>
      <c r="G121" s="32" t="s">
        <v>152</v>
      </c>
      <c r="H121" s="13" t="s">
        <v>85</v>
      </c>
      <c r="I121" s="32"/>
      <c r="J121" s="32"/>
      <c r="K121" s="4"/>
      <c r="L121" s="4" t="s">
        <v>87</v>
      </c>
    </row>
    <row r="122" spans="1:12" s="20" customFormat="1" x14ac:dyDescent="0.3">
      <c r="A122" s="37"/>
      <c r="B122" s="32" t="s">
        <v>318</v>
      </c>
      <c r="C122" s="32"/>
      <c r="D122" s="32"/>
      <c r="E122" s="61" t="s">
        <v>319</v>
      </c>
      <c r="F122" s="105" t="s">
        <v>109</v>
      </c>
      <c r="G122" s="85" t="s">
        <v>95</v>
      </c>
      <c r="H122" s="110" t="s">
        <v>85</v>
      </c>
      <c r="I122" s="98" t="s">
        <v>566</v>
      </c>
      <c r="J122" s="32"/>
      <c r="K122" s="16"/>
      <c r="L122" s="16"/>
    </row>
    <row r="123" spans="1:12" s="20" customFormat="1" x14ac:dyDescent="0.3">
      <c r="A123" s="37">
        <f ca="1">A121+1</f>
        <v>109</v>
      </c>
      <c r="B123" s="32" t="s">
        <v>318</v>
      </c>
      <c r="C123" s="32"/>
      <c r="D123" s="32"/>
      <c r="E123" s="61" t="s">
        <v>319</v>
      </c>
      <c r="F123" s="104" t="s">
        <v>111</v>
      </c>
      <c r="G123" s="106" t="s">
        <v>98</v>
      </c>
      <c r="H123" s="111" t="s">
        <v>85</v>
      </c>
      <c r="I123" s="4" t="s">
        <v>567</v>
      </c>
      <c r="J123" s="32"/>
    </row>
    <row r="124" spans="1:12" s="20" customFormat="1" x14ac:dyDescent="0.3">
      <c r="A124" s="37">
        <f t="shared" ca="1" si="1"/>
        <v>110</v>
      </c>
      <c r="B124" s="32" t="s">
        <v>318</v>
      </c>
      <c r="C124" s="32"/>
      <c r="D124" s="32"/>
      <c r="F124" s="32" t="s">
        <v>322</v>
      </c>
      <c r="G124" s="32" t="s">
        <v>152</v>
      </c>
      <c r="H124" s="13" t="s">
        <v>85</v>
      </c>
      <c r="I124" s="32"/>
      <c r="J124" s="32"/>
    </row>
    <row r="125" spans="1:12" s="20" customFormat="1" x14ac:dyDescent="0.3">
      <c r="A125" s="37">
        <f t="shared" ca="1" si="1"/>
        <v>111</v>
      </c>
      <c r="B125" s="32" t="s">
        <v>331</v>
      </c>
      <c r="C125" s="32"/>
      <c r="D125" s="32"/>
      <c r="E125" s="32"/>
      <c r="F125" s="32" t="s">
        <v>332</v>
      </c>
      <c r="G125" s="32" t="s">
        <v>101</v>
      </c>
      <c r="H125" s="13" t="s">
        <v>85</v>
      </c>
      <c r="I125" s="32"/>
      <c r="J125" s="32"/>
    </row>
    <row r="126" spans="1:12" s="20" customFormat="1" x14ac:dyDescent="0.3">
      <c r="A126" s="37">
        <f t="shared" ca="1" si="1"/>
        <v>112</v>
      </c>
      <c r="B126" s="32" t="s">
        <v>331</v>
      </c>
      <c r="C126" s="32"/>
      <c r="D126" s="32"/>
      <c r="E126" s="32"/>
      <c r="F126" s="32" t="s">
        <v>335</v>
      </c>
      <c r="G126" s="32" t="s">
        <v>101</v>
      </c>
      <c r="H126" s="13" t="s">
        <v>85</v>
      </c>
      <c r="I126" s="32"/>
      <c r="J126" s="32"/>
    </row>
    <row r="127" spans="1:12" s="20" customFormat="1" x14ac:dyDescent="0.3">
      <c r="A127" s="37">
        <f t="shared" ca="1" si="1"/>
        <v>113</v>
      </c>
      <c r="B127" s="32" t="s">
        <v>331</v>
      </c>
      <c r="C127" s="32"/>
      <c r="D127" s="32"/>
      <c r="E127" s="32"/>
      <c r="F127" s="32" t="s">
        <v>177</v>
      </c>
      <c r="G127" s="32" t="s">
        <v>101</v>
      </c>
      <c r="H127" s="13" t="s">
        <v>85</v>
      </c>
      <c r="I127" s="32"/>
      <c r="J127" s="32"/>
      <c r="K127" s="4"/>
      <c r="L127" s="4" t="s">
        <v>87</v>
      </c>
    </row>
    <row r="128" spans="1:12" s="20" customFormat="1" x14ac:dyDescent="0.3">
      <c r="A128" s="37">
        <f t="shared" ca="1" si="1"/>
        <v>114</v>
      </c>
      <c r="B128" s="32" t="s">
        <v>331</v>
      </c>
      <c r="C128" s="32"/>
      <c r="D128" s="32"/>
      <c r="E128" s="32"/>
      <c r="F128" s="32" t="s">
        <v>338</v>
      </c>
      <c r="G128" s="32" t="s">
        <v>81</v>
      </c>
      <c r="H128" s="13" t="s">
        <v>85</v>
      </c>
      <c r="I128" s="32"/>
      <c r="J128" s="32"/>
    </row>
    <row r="129" spans="1:12" s="20" customFormat="1" x14ac:dyDescent="0.3">
      <c r="A129" s="37">
        <f t="shared" ca="1" si="1"/>
        <v>115</v>
      </c>
      <c r="B129" s="32" t="s">
        <v>331</v>
      </c>
      <c r="C129" s="32"/>
      <c r="D129" s="32"/>
      <c r="E129" s="32"/>
      <c r="F129" s="32" t="s">
        <v>341</v>
      </c>
      <c r="G129" s="32" t="s">
        <v>81</v>
      </c>
      <c r="H129" s="13" t="s">
        <v>85</v>
      </c>
      <c r="I129" s="32"/>
      <c r="J129" s="32"/>
    </row>
    <row r="130" spans="1:12" s="20" customFormat="1" x14ac:dyDescent="0.3">
      <c r="A130" s="37">
        <f t="shared" ca="1" si="1"/>
        <v>116</v>
      </c>
      <c r="B130" s="32" t="s">
        <v>331</v>
      </c>
      <c r="C130" s="32"/>
      <c r="D130" s="32"/>
      <c r="E130" s="32"/>
      <c r="F130" s="32" t="s">
        <v>344</v>
      </c>
      <c r="G130" s="32" t="s">
        <v>101</v>
      </c>
      <c r="H130" s="13" t="s">
        <v>85</v>
      </c>
      <c r="I130" s="32"/>
      <c r="J130" s="32"/>
    </row>
    <row r="131" spans="1:12" s="20" customFormat="1" x14ac:dyDescent="0.3">
      <c r="A131" s="37">
        <f t="shared" ca="1" si="1"/>
        <v>117</v>
      </c>
      <c r="B131" s="32" t="s">
        <v>331</v>
      </c>
      <c r="C131" s="32"/>
      <c r="D131" s="32"/>
      <c r="E131" s="32"/>
      <c r="F131" s="32" t="s">
        <v>329</v>
      </c>
      <c r="G131" s="32" t="s">
        <v>125</v>
      </c>
      <c r="H131" s="13" t="s">
        <v>85</v>
      </c>
      <c r="I131" s="32"/>
      <c r="J131" s="32"/>
    </row>
    <row r="132" spans="1:12" s="20" customFormat="1" x14ac:dyDescent="0.3">
      <c r="A132" s="37">
        <f t="shared" ca="1" si="1"/>
        <v>118</v>
      </c>
      <c r="B132" s="49" t="s">
        <v>331</v>
      </c>
      <c r="C132" s="49"/>
      <c r="D132" s="49"/>
      <c r="E132" s="49"/>
      <c r="F132" s="32" t="s">
        <v>347</v>
      </c>
      <c r="G132" s="28" t="s">
        <v>17</v>
      </c>
      <c r="H132" s="13" t="s">
        <v>85</v>
      </c>
      <c r="I132" s="28"/>
      <c r="J132" s="28"/>
    </row>
    <row r="133" spans="1:12" s="20" customFormat="1" x14ac:dyDescent="0.3">
      <c r="A133" s="37">
        <f t="shared" ca="1" si="1"/>
        <v>119</v>
      </c>
      <c r="B133" s="49" t="s">
        <v>331</v>
      </c>
      <c r="C133" s="49"/>
      <c r="D133" s="49"/>
      <c r="E133" s="49"/>
      <c r="F133" s="32" t="s">
        <v>350</v>
      </c>
      <c r="G133" s="28" t="s">
        <v>17</v>
      </c>
      <c r="H133" s="13" t="s">
        <v>85</v>
      </c>
      <c r="I133" s="28"/>
      <c r="J133" s="28"/>
    </row>
    <row r="134" spans="1:12" s="20" customFormat="1" x14ac:dyDescent="0.3">
      <c r="A134" s="37">
        <f t="shared" ca="1" si="1"/>
        <v>120</v>
      </c>
      <c r="B134" s="49" t="s">
        <v>331</v>
      </c>
      <c r="C134" s="49"/>
      <c r="D134" s="49"/>
      <c r="E134" s="49"/>
      <c r="F134" s="32" t="s">
        <v>353</v>
      </c>
      <c r="G134" s="28" t="s">
        <v>101</v>
      </c>
      <c r="H134" s="13" t="s">
        <v>85</v>
      </c>
      <c r="I134" s="28"/>
      <c r="J134" s="28"/>
    </row>
    <row r="135" spans="1:12" s="20" customFormat="1" x14ac:dyDescent="0.3">
      <c r="A135" s="37">
        <f t="shared" ca="1" si="1"/>
        <v>121</v>
      </c>
      <c r="B135" s="49" t="s">
        <v>331</v>
      </c>
      <c r="C135" s="49"/>
      <c r="D135" s="49"/>
      <c r="E135" s="49"/>
      <c r="F135" s="32" t="s">
        <v>355</v>
      </c>
      <c r="G135" s="28" t="s">
        <v>101</v>
      </c>
      <c r="H135" s="13" t="s">
        <v>85</v>
      </c>
      <c r="I135" s="28"/>
      <c r="J135" s="28"/>
    </row>
    <row r="136" spans="1:12" s="20" customFormat="1" x14ac:dyDescent="0.3">
      <c r="A136" s="37">
        <f t="shared" ca="1" si="1"/>
        <v>122</v>
      </c>
      <c r="B136" s="49" t="s">
        <v>331</v>
      </c>
      <c r="C136" s="49"/>
      <c r="D136" s="49"/>
      <c r="E136" s="49"/>
      <c r="F136" s="32" t="s">
        <v>357</v>
      </c>
      <c r="G136" s="28" t="s">
        <v>101</v>
      </c>
      <c r="H136" s="13" t="s">
        <v>85</v>
      </c>
      <c r="I136" s="28"/>
      <c r="J136" s="28"/>
    </row>
    <row r="137" spans="1:12" s="20" customFormat="1" x14ac:dyDescent="0.3">
      <c r="A137" s="37">
        <f t="shared" ca="1" si="1"/>
        <v>123</v>
      </c>
      <c r="B137" s="49" t="s">
        <v>331</v>
      </c>
      <c r="C137" s="49"/>
      <c r="D137" s="49"/>
      <c r="E137" s="49"/>
      <c r="F137" s="32" t="s">
        <v>359</v>
      </c>
      <c r="G137" s="28" t="s">
        <v>101</v>
      </c>
      <c r="H137" s="13" t="s">
        <v>85</v>
      </c>
      <c r="I137" s="28"/>
      <c r="J137" s="28"/>
    </row>
    <row r="138" spans="1:12" s="20" customFormat="1" x14ac:dyDescent="0.3">
      <c r="A138" s="37">
        <f t="shared" ca="1" si="1"/>
        <v>124</v>
      </c>
      <c r="B138" s="49" t="s">
        <v>331</v>
      </c>
      <c r="C138" s="49"/>
      <c r="D138" s="49"/>
      <c r="E138" s="49"/>
      <c r="F138" s="32" t="s">
        <v>361</v>
      </c>
      <c r="G138" s="28" t="s">
        <v>125</v>
      </c>
      <c r="H138" s="13" t="s">
        <v>85</v>
      </c>
      <c r="I138" s="28"/>
      <c r="J138" s="28"/>
    </row>
    <row r="139" spans="1:12" s="20" customFormat="1" x14ac:dyDescent="0.3">
      <c r="A139" s="37">
        <f t="shared" ca="1" si="1"/>
        <v>125</v>
      </c>
      <c r="B139" s="49" t="s">
        <v>331</v>
      </c>
      <c r="C139" s="49"/>
      <c r="D139" s="49"/>
      <c r="E139" s="49"/>
      <c r="F139" s="32" t="s">
        <v>88</v>
      </c>
      <c r="G139" s="28" t="s">
        <v>17</v>
      </c>
      <c r="H139" s="13" t="s">
        <v>85</v>
      </c>
      <c r="I139" s="28"/>
      <c r="J139" s="28"/>
      <c r="K139" s="4"/>
      <c r="L139" s="4" t="s">
        <v>87</v>
      </c>
    </row>
    <row r="140" spans="1:12" s="20" customFormat="1" x14ac:dyDescent="0.3">
      <c r="A140" s="37">
        <f t="shared" ca="1" si="1"/>
        <v>126</v>
      </c>
      <c r="B140" s="49" t="s">
        <v>331</v>
      </c>
      <c r="C140" s="49"/>
      <c r="D140" s="49"/>
      <c r="E140" s="49"/>
      <c r="F140" s="32" t="s">
        <v>365</v>
      </c>
      <c r="G140" s="28" t="s">
        <v>101</v>
      </c>
      <c r="H140" s="13" t="s">
        <v>85</v>
      </c>
      <c r="I140" s="28"/>
      <c r="J140" s="28"/>
    </row>
    <row r="141" spans="1:12" s="20" customFormat="1" x14ac:dyDescent="0.3">
      <c r="A141" s="37">
        <f t="shared" ca="1" si="1"/>
        <v>127</v>
      </c>
      <c r="B141" s="49" t="s">
        <v>331</v>
      </c>
      <c r="C141" s="49"/>
      <c r="D141" s="49"/>
      <c r="E141" s="49"/>
      <c r="F141" s="32" t="s">
        <v>368</v>
      </c>
      <c r="G141" s="28" t="s">
        <v>17</v>
      </c>
      <c r="H141" s="13" t="s">
        <v>85</v>
      </c>
      <c r="I141" s="28"/>
      <c r="J141" s="28"/>
    </row>
    <row r="142" spans="1:12" s="20" customFormat="1" x14ac:dyDescent="0.3">
      <c r="A142" s="37">
        <f t="shared" ca="1" si="1"/>
        <v>128</v>
      </c>
      <c r="B142" s="49" t="s">
        <v>331</v>
      </c>
      <c r="C142" s="49"/>
      <c r="D142" s="49"/>
      <c r="E142" s="49"/>
      <c r="F142" s="32" t="s">
        <v>136</v>
      </c>
      <c r="G142" s="28" t="s">
        <v>17</v>
      </c>
      <c r="H142" s="13" t="s">
        <v>85</v>
      </c>
      <c r="I142" s="28"/>
      <c r="J142" s="28"/>
      <c r="K142" s="4"/>
      <c r="L142" s="4" t="s">
        <v>87</v>
      </c>
    </row>
    <row r="143" spans="1:12" s="20" customFormat="1" x14ac:dyDescent="0.3">
      <c r="A143" s="37">
        <f t="shared" ca="1" si="1"/>
        <v>129</v>
      </c>
      <c r="B143" s="49" t="s">
        <v>331</v>
      </c>
      <c r="C143" s="49"/>
      <c r="D143" s="49"/>
      <c r="E143" s="49"/>
      <c r="F143" s="32" t="s">
        <v>372</v>
      </c>
      <c r="G143" s="28" t="s">
        <v>101</v>
      </c>
      <c r="H143" s="13" t="s">
        <v>85</v>
      </c>
      <c r="I143" s="28"/>
      <c r="J143" s="28"/>
    </row>
    <row r="144" spans="1:12" s="20" customFormat="1" x14ac:dyDescent="0.3">
      <c r="A144" s="37">
        <f t="shared" ref="A144:A212" ca="1" si="2">A143+1</f>
        <v>130</v>
      </c>
      <c r="B144" s="49" t="s">
        <v>331</v>
      </c>
      <c r="C144" s="49"/>
      <c r="D144" s="49"/>
      <c r="E144" s="49"/>
      <c r="F144" s="32" t="s">
        <v>138</v>
      </c>
      <c r="G144" s="28" t="s">
        <v>17</v>
      </c>
      <c r="H144" s="13" t="s">
        <v>85</v>
      </c>
      <c r="I144" s="28"/>
      <c r="J144" s="28"/>
      <c r="K144" s="4"/>
      <c r="L144" s="4" t="s">
        <v>87</v>
      </c>
    </row>
    <row r="145" spans="1:12" s="20" customFormat="1" x14ac:dyDescent="0.3">
      <c r="A145" s="37">
        <f t="shared" ca="1" si="2"/>
        <v>131</v>
      </c>
      <c r="B145" s="49" t="s">
        <v>331</v>
      </c>
      <c r="C145" s="49"/>
      <c r="D145" s="49"/>
      <c r="E145" s="49"/>
      <c r="F145" s="32" t="s">
        <v>194</v>
      </c>
      <c r="G145" s="28" t="s">
        <v>81</v>
      </c>
      <c r="H145" s="13" t="s">
        <v>85</v>
      </c>
      <c r="I145" s="28"/>
      <c r="J145" s="28"/>
      <c r="K145" s="4"/>
      <c r="L145" s="4" t="s">
        <v>87</v>
      </c>
    </row>
    <row r="146" spans="1:12" s="20" customFormat="1" x14ac:dyDescent="0.3">
      <c r="A146" s="37">
        <f t="shared" ca="1" si="2"/>
        <v>132</v>
      </c>
      <c r="B146" s="49" t="s">
        <v>331</v>
      </c>
      <c r="C146" s="49"/>
      <c r="D146" s="49"/>
      <c r="E146" s="49"/>
      <c r="F146" s="32" t="s">
        <v>377</v>
      </c>
      <c r="G146" s="28" t="s">
        <v>101</v>
      </c>
      <c r="H146" s="13" t="s">
        <v>85</v>
      </c>
      <c r="I146" s="28"/>
      <c r="J146" s="28"/>
    </row>
    <row r="147" spans="1:12" s="20" customFormat="1" x14ac:dyDescent="0.3">
      <c r="A147" s="37">
        <f t="shared" ca="1" si="2"/>
        <v>133</v>
      </c>
      <c r="B147" s="49" t="s">
        <v>331</v>
      </c>
      <c r="C147" s="49"/>
      <c r="D147" s="49"/>
      <c r="E147" s="49"/>
      <c r="F147" s="32" t="s">
        <v>381</v>
      </c>
      <c r="G147" s="28" t="s">
        <v>125</v>
      </c>
      <c r="H147" s="13" t="s">
        <v>85</v>
      </c>
      <c r="I147" s="28"/>
      <c r="J147" s="28"/>
    </row>
    <row r="148" spans="1:12" s="20" customFormat="1" x14ac:dyDescent="0.3">
      <c r="A148" s="37">
        <f t="shared" ca="1" si="2"/>
        <v>134</v>
      </c>
      <c r="B148" s="49" t="s">
        <v>331</v>
      </c>
      <c r="C148" s="49"/>
      <c r="D148" s="49"/>
      <c r="E148" s="49"/>
      <c r="F148" s="32" t="s">
        <v>383</v>
      </c>
      <c r="G148" s="28" t="s">
        <v>17</v>
      </c>
      <c r="H148" s="13" t="s">
        <v>85</v>
      </c>
      <c r="I148" s="28"/>
      <c r="J148" s="28"/>
    </row>
    <row r="149" spans="1:12" s="20" customFormat="1" x14ac:dyDescent="0.3">
      <c r="A149" s="37">
        <f t="shared" ca="1" si="2"/>
        <v>135</v>
      </c>
      <c r="B149" s="49" t="s">
        <v>331</v>
      </c>
      <c r="C149" s="49"/>
      <c r="D149" s="49"/>
      <c r="E149" s="49"/>
      <c r="F149" s="32" t="s">
        <v>282</v>
      </c>
      <c r="G149" s="28" t="s">
        <v>152</v>
      </c>
      <c r="H149" s="13" t="s">
        <v>85</v>
      </c>
      <c r="I149" s="28"/>
      <c r="J149" s="28"/>
      <c r="K149" s="4"/>
      <c r="L149" s="4" t="s">
        <v>87</v>
      </c>
    </row>
    <row r="150" spans="1:12" s="20" customFormat="1" x14ac:dyDescent="0.3">
      <c r="A150" s="37">
        <f t="shared" ca="1" si="2"/>
        <v>136</v>
      </c>
      <c r="B150" s="49" t="s">
        <v>331</v>
      </c>
      <c r="C150" s="49"/>
      <c r="D150" s="49"/>
      <c r="E150" s="49"/>
      <c r="F150" s="32" t="s">
        <v>387</v>
      </c>
      <c r="G150" s="28" t="s">
        <v>125</v>
      </c>
      <c r="H150" s="13" t="s">
        <v>85</v>
      </c>
      <c r="I150" s="28"/>
      <c r="J150" s="28"/>
    </row>
    <row r="151" spans="1:12" s="20" customFormat="1" x14ac:dyDescent="0.3">
      <c r="A151" s="37">
        <f t="shared" ca="1" si="2"/>
        <v>137</v>
      </c>
      <c r="B151" s="49" t="s">
        <v>331</v>
      </c>
      <c r="C151" s="49"/>
      <c r="D151" s="49"/>
      <c r="E151" s="49"/>
      <c r="F151" s="32" t="s">
        <v>389</v>
      </c>
      <c r="G151" s="28" t="s">
        <v>125</v>
      </c>
      <c r="H151" s="13" t="s">
        <v>85</v>
      </c>
      <c r="I151" s="28"/>
      <c r="J151" s="28"/>
    </row>
    <row r="152" spans="1:12" s="20" customFormat="1" x14ac:dyDescent="0.3">
      <c r="A152" s="37">
        <f t="shared" ca="1" si="2"/>
        <v>138</v>
      </c>
      <c r="B152" s="49" t="s">
        <v>331</v>
      </c>
      <c r="C152" s="49"/>
      <c r="D152" s="49"/>
      <c r="E152" s="49"/>
      <c r="F152" s="32" t="s">
        <v>391</v>
      </c>
      <c r="G152" s="28" t="s">
        <v>101</v>
      </c>
      <c r="H152" s="13" t="s">
        <v>85</v>
      </c>
      <c r="I152" s="28"/>
      <c r="J152" s="28"/>
    </row>
    <row r="153" spans="1:12" s="20" customFormat="1" x14ac:dyDescent="0.3">
      <c r="A153" s="37">
        <f t="shared" ca="1" si="2"/>
        <v>139</v>
      </c>
      <c r="B153" s="49" t="s">
        <v>331</v>
      </c>
      <c r="C153" s="49"/>
      <c r="D153" s="49"/>
      <c r="E153" s="49"/>
      <c r="F153" s="32" t="s">
        <v>395</v>
      </c>
      <c r="G153" s="28" t="s">
        <v>125</v>
      </c>
      <c r="H153" s="13" t="s">
        <v>85</v>
      </c>
      <c r="I153" s="28"/>
      <c r="J153" s="28"/>
    </row>
    <row r="154" spans="1:12" s="20" customFormat="1" x14ac:dyDescent="0.3">
      <c r="A154" s="37">
        <f t="shared" ca="1" si="2"/>
        <v>140</v>
      </c>
      <c r="B154" s="49" t="s">
        <v>331</v>
      </c>
      <c r="C154" s="49"/>
      <c r="D154" s="49"/>
      <c r="E154" s="49"/>
      <c r="F154" s="32" t="s">
        <v>192</v>
      </c>
      <c r="G154" s="28" t="s">
        <v>101</v>
      </c>
      <c r="H154" s="13" t="s">
        <v>85</v>
      </c>
      <c r="I154" s="28"/>
      <c r="J154" s="28"/>
      <c r="K154" s="4"/>
      <c r="L154" s="4" t="s">
        <v>87</v>
      </c>
    </row>
    <row r="155" spans="1:12" s="20" customFormat="1" x14ac:dyDescent="0.3">
      <c r="A155" s="37">
        <f t="shared" ca="1" si="2"/>
        <v>141</v>
      </c>
      <c r="B155" s="32" t="s">
        <v>324</v>
      </c>
      <c r="C155" s="32"/>
      <c r="D155" s="32"/>
      <c r="E155" s="32"/>
      <c r="F155" s="32" t="s">
        <v>325</v>
      </c>
      <c r="G155" s="32" t="s">
        <v>101</v>
      </c>
      <c r="H155" s="13" t="s">
        <v>82</v>
      </c>
      <c r="I155" s="32"/>
      <c r="J155" s="32"/>
    </row>
    <row r="156" spans="1:12" s="20" customFormat="1" x14ac:dyDescent="0.3">
      <c r="A156" s="37">
        <f t="shared" ca="1" si="2"/>
        <v>142</v>
      </c>
      <c r="B156" s="32" t="s">
        <v>324</v>
      </c>
      <c r="C156" s="32"/>
      <c r="D156" s="32"/>
      <c r="E156" s="32"/>
      <c r="F156" s="32" t="s">
        <v>88</v>
      </c>
      <c r="G156" s="32" t="s">
        <v>17</v>
      </c>
      <c r="H156" s="13" t="s">
        <v>85</v>
      </c>
      <c r="I156" s="32"/>
      <c r="J156" s="32"/>
      <c r="K156" s="4"/>
      <c r="L156" s="4" t="s">
        <v>87</v>
      </c>
    </row>
    <row r="157" spans="1:12" s="20" customFormat="1" x14ac:dyDescent="0.3">
      <c r="A157" s="37">
        <f t="shared" ca="1" si="2"/>
        <v>143</v>
      </c>
      <c r="B157" s="32" t="s">
        <v>324</v>
      </c>
      <c r="C157" s="32"/>
      <c r="D157" s="32"/>
      <c r="E157" s="32"/>
      <c r="F157" s="32" t="s">
        <v>138</v>
      </c>
      <c r="G157" s="32" t="s">
        <v>17</v>
      </c>
      <c r="H157" s="13" t="s">
        <v>85</v>
      </c>
      <c r="I157" s="32"/>
      <c r="J157" s="32"/>
      <c r="K157" s="4"/>
      <c r="L157" s="4" t="s">
        <v>87</v>
      </c>
    </row>
    <row r="158" spans="1:12" s="20" customFormat="1" x14ac:dyDescent="0.3">
      <c r="A158" s="37">
        <f t="shared" ca="1" si="2"/>
        <v>144</v>
      </c>
      <c r="B158" s="32" t="s">
        <v>324</v>
      </c>
      <c r="C158" s="32"/>
      <c r="D158" s="32"/>
      <c r="E158" s="32"/>
      <c r="F158" s="32" t="s">
        <v>329</v>
      </c>
      <c r="G158" s="32" t="s">
        <v>125</v>
      </c>
      <c r="H158" s="13" t="s">
        <v>85</v>
      </c>
      <c r="I158" s="32"/>
      <c r="J158" s="32"/>
    </row>
    <row r="159" spans="1:12" s="20" customFormat="1" x14ac:dyDescent="0.3">
      <c r="A159" s="37">
        <f t="shared" ca="1" si="2"/>
        <v>145</v>
      </c>
      <c r="B159" s="49" t="s">
        <v>398</v>
      </c>
      <c r="C159" s="49"/>
      <c r="D159" s="49"/>
      <c r="E159" s="49"/>
      <c r="F159" s="32" t="s">
        <v>399</v>
      </c>
      <c r="G159" s="28" t="s">
        <v>101</v>
      </c>
      <c r="H159" s="13" t="s">
        <v>85</v>
      </c>
      <c r="I159" s="28"/>
      <c r="J159" s="28"/>
    </row>
    <row r="160" spans="1:12" s="20" customFormat="1" x14ac:dyDescent="0.3">
      <c r="A160" s="37">
        <f t="shared" ca="1" si="2"/>
        <v>146</v>
      </c>
      <c r="B160" s="49" t="s">
        <v>398</v>
      </c>
      <c r="C160" s="49"/>
      <c r="D160" s="49"/>
      <c r="E160" s="49"/>
      <c r="F160" s="32" t="s">
        <v>401</v>
      </c>
      <c r="G160" s="28" t="s">
        <v>152</v>
      </c>
      <c r="H160" s="13" t="s">
        <v>85</v>
      </c>
      <c r="I160" s="28"/>
      <c r="J160" s="28"/>
    </row>
    <row r="161" spans="1:12" s="20" customFormat="1" x14ac:dyDescent="0.3">
      <c r="A161" s="37">
        <f t="shared" ca="1" si="2"/>
        <v>147</v>
      </c>
      <c r="B161" s="49" t="s">
        <v>403</v>
      </c>
      <c r="C161" s="49"/>
      <c r="D161" s="49"/>
      <c r="E161" s="49"/>
      <c r="F161" s="32" t="s">
        <v>404</v>
      </c>
      <c r="G161" s="28" t="s">
        <v>152</v>
      </c>
      <c r="H161" s="13" t="s">
        <v>85</v>
      </c>
      <c r="I161" s="28"/>
      <c r="J161" s="28"/>
    </row>
    <row r="162" spans="1:12" s="20" customFormat="1" x14ac:dyDescent="0.3">
      <c r="A162" s="37">
        <f t="shared" ca="1" si="2"/>
        <v>148</v>
      </c>
      <c r="B162" s="49" t="s">
        <v>403</v>
      </c>
      <c r="C162" s="49"/>
      <c r="D162" s="49"/>
      <c r="E162" s="49"/>
      <c r="F162" s="32" t="s">
        <v>405</v>
      </c>
      <c r="G162" s="28" t="s">
        <v>101</v>
      </c>
      <c r="H162" s="13" t="s">
        <v>85</v>
      </c>
      <c r="I162" s="28"/>
      <c r="J162" s="28"/>
    </row>
    <row r="163" spans="1:12" s="20" customFormat="1" x14ac:dyDescent="0.3">
      <c r="A163" s="37">
        <f t="shared" ca="1" si="2"/>
        <v>149</v>
      </c>
      <c r="B163" s="49" t="s">
        <v>403</v>
      </c>
      <c r="C163" s="49"/>
      <c r="D163" s="49"/>
      <c r="E163" s="49"/>
      <c r="F163" s="32" t="s">
        <v>406</v>
      </c>
      <c r="G163" s="28" t="s">
        <v>101</v>
      </c>
      <c r="H163" s="13" t="s">
        <v>85</v>
      </c>
      <c r="I163" s="28"/>
      <c r="J163" s="28"/>
    </row>
    <row r="164" spans="1:12" s="20" customFormat="1" x14ac:dyDescent="0.3">
      <c r="A164" s="37">
        <f t="shared" ca="1" si="2"/>
        <v>150</v>
      </c>
      <c r="B164" s="49" t="s">
        <v>403</v>
      </c>
      <c r="C164" s="49"/>
      <c r="D164" s="49"/>
      <c r="E164" s="49"/>
      <c r="F164" s="32" t="s">
        <v>407</v>
      </c>
      <c r="G164" s="28" t="s">
        <v>101</v>
      </c>
      <c r="H164" s="13" t="s">
        <v>85</v>
      </c>
      <c r="I164" s="28"/>
      <c r="J164" s="28"/>
    </row>
    <row r="165" spans="1:12" s="20" customFormat="1" x14ac:dyDescent="0.3">
      <c r="A165" s="37">
        <f t="shared" ca="1" si="2"/>
        <v>151</v>
      </c>
      <c r="B165" s="49" t="s">
        <v>403</v>
      </c>
      <c r="C165" s="49"/>
      <c r="D165" s="49"/>
      <c r="E165" s="49"/>
      <c r="F165" s="32" t="s">
        <v>408</v>
      </c>
      <c r="G165" s="28" t="s">
        <v>17</v>
      </c>
      <c r="H165" s="13" t="s">
        <v>85</v>
      </c>
      <c r="I165" s="28"/>
      <c r="J165" s="28"/>
    </row>
    <row r="166" spans="1:12" s="20" customFormat="1" x14ac:dyDescent="0.3">
      <c r="A166" s="37">
        <f t="shared" ca="1" si="2"/>
        <v>152</v>
      </c>
      <c r="B166" s="49" t="s">
        <v>403</v>
      </c>
      <c r="C166" s="49"/>
      <c r="D166" s="49"/>
      <c r="E166" s="49"/>
      <c r="F166" s="32" t="s">
        <v>409</v>
      </c>
      <c r="G166" s="28" t="s">
        <v>17</v>
      </c>
      <c r="H166" s="13" t="s">
        <v>85</v>
      </c>
      <c r="I166" s="28"/>
      <c r="J166" s="28"/>
    </row>
    <row r="167" spans="1:12" s="20" customFormat="1" x14ac:dyDescent="0.3">
      <c r="A167" s="37">
        <f t="shared" ca="1" si="2"/>
        <v>153</v>
      </c>
      <c r="B167" s="49" t="s">
        <v>403</v>
      </c>
      <c r="C167" s="49"/>
      <c r="D167" s="49"/>
      <c r="E167" s="49"/>
      <c r="F167" s="32" t="s">
        <v>122</v>
      </c>
      <c r="G167" s="28" t="s">
        <v>81</v>
      </c>
      <c r="H167" s="13" t="s">
        <v>85</v>
      </c>
      <c r="I167" s="28"/>
      <c r="J167" s="28"/>
      <c r="K167" s="4"/>
      <c r="L167" s="4" t="s">
        <v>87</v>
      </c>
    </row>
    <row r="168" spans="1:12" s="20" customFormat="1" x14ac:dyDescent="0.3">
      <c r="A168" s="37">
        <f t="shared" ca="1" si="2"/>
        <v>154</v>
      </c>
      <c r="B168" s="49" t="s">
        <v>403</v>
      </c>
      <c r="C168" s="49"/>
      <c r="D168" s="49"/>
      <c r="E168" s="49"/>
      <c r="F168" s="32" t="s">
        <v>410</v>
      </c>
      <c r="G168" s="28" t="s">
        <v>101</v>
      </c>
      <c r="H168" s="13" t="s">
        <v>85</v>
      </c>
      <c r="I168" s="28"/>
      <c r="J168" s="28"/>
    </row>
    <row r="169" spans="1:12" s="20" customFormat="1" x14ac:dyDescent="0.3">
      <c r="A169" s="37">
        <f t="shared" ca="1" si="2"/>
        <v>155</v>
      </c>
      <c r="B169" s="49" t="s">
        <v>403</v>
      </c>
      <c r="C169" s="49"/>
      <c r="D169" s="49"/>
      <c r="E169" s="49"/>
      <c r="F169" s="32" t="s">
        <v>411</v>
      </c>
      <c r="G169" s="28" t="s">
        <v>101</v>
      </c>
      <c r="H169" s="13" t="s">
        <v>85</v>
      </c>
      <c r="I169" s="28"/>
      <c r="J169" s="28"/>
    </row>
    <row r="170" spans="1:12" s="20" customFormat="1" x14ac:dyDescent="0.3">
      <c r="A170" s="37">
        <f t="shared" ca="1" si="2"/>
        <v>156</v>
      </c>
      <c r="B170" s="49" t="s">
        <v>403</v>
      </c>
      <c r="C170" s="49"/>
      <c r="D170" s="49"/>
      <c r="E170" s="49"/>
      <c r="F170" s="32" t="s">
        <v>414</v>
      </c>
      <c r="G170" s="28" t="s">
        <v>17</v>
      </c>
      <c r="H170" s="13" t="s">
        <v>85</v>
      </c>
      <c r="I170" s="28"/>
      <c r="J170" s="28"/>
    </row>
    <row r="171" spans="1:12" s="20" customFormat="1" x14ac:dyDescent="0.3">
      <c r="A171" s="37">
        <f t="shared" ca="1" si="2"/>
        <v>157</v>
      </c>
      <c r="B171" s="49" t="s">
        <v>415</v>
      </c>
      <c r="C171" s="49"/>
      <c r="D171" s="49"/>
      <c r="E171" s="49"/>
      <c r="F171" s="32" t="s">
        <v>416</v>
      </c>
      <c r="G171" s="28" t="s">
        <v>101</v>
      </c>
      <c r="H171" s="13" t="s">
        <v>85</v>
      </c>
      <c r="I171" s="28"/>
      <c r="J171" s="28"/>
    </row>
    <row r="172" spans="1:12" s="20" customFormat="1" x14ac:dyDescent="0.3">
      <c r="A172" s="37">
        <f t="shared" ca="1" si="2"/>
        <v>158</v>
      </c>
      <c r="B172" s="49" t="s">
        <v>415</v>
      </c>
      <c r="C172" s="49"/>
      <c r="D172" s="49"/>
      <c r="E172" s="49"/>
      <c r="F172" s="32" t="s">
        <v>417</v>
      </c>
      <c r="G172" s="28" t="s">
        <v>101</v>
      </c>
      <c r="H172" s="13" t="s">
        <v>85</v>
      </c>
      <c r="I172" s="28"/>
      <c r="J172" s="28"/>
    </row>
    <row r="173" spans="1:12" s="20" customFormat="1" x14ac:dyDescent="0.3">
      <c r="A173" s="37">
        <f t="shared" ca="1" si="2"/>
        <v>159</v>
      </c>
      <c r="B173" s="49" t="s">
        <v>415</v>
      </c>
      <c r="C173" s="49"/>
      <c r="D173" s="49"/>
      <c r="E173" s="49"/>
      <c r="F173" s="32" t="s">
        <v>335</v>
      </c>
      <c r="G173" s="28" t="s">
        <v>101</v>
      </c>
      <c r="H173" s="13" t="s">
        <v>85</v>
      </c>
      <c r="I173" s="28"/>
      <c r="J173" s="28"/>
    </row>
    <row r="174" spans="1:12" s="20" customFormat="1" x14ac:dyDescent="0.3">
      <c r="A174" s="37">
        <f t="shared" ca="1" si="2"/>
        <v>160</v>
      </c>
      <c r="B174" s="49" t="s">
        <v>415</v>
      </c>
      <c r="C174" s="49"/>
      <c r="D174" s="49"/>
      <c r="E174" s="49"/>
      <c r="F174" s="32" t="s">
        <v>419</v>
      </c>
      <c r="G174" s="28" t="s">
        <v>101</v>
      </c>
      <c r="H174" s="13" t="s">
        <v>85</v>
      </c>
      <c r="I174" s="28"/>
      <c r="J174" s="28"/>
    </row>
    <row r="175" spans="1:12" s="20" customFormat="1" x14ac:dyDescent="0.3">
      <c r="A175" s="37">
        <f t="shared" ca="1" si="2"/>
        <v>161</v>
      </c>
      <c r="B175" s="49" t="s">
        <v>415</v>
      </c>
      <c r="C175" s="49"/>
      <c r="D175" s="49"/>
      <c r="E175" s="49"/>
      <c r="F175" s="32" t="s">
        <v>410</v>
      </c>
      <c r="G175" s="28" t="s">
        <v>101</v>
      </c>
      <c r="H175" s="13" t="s">
        <v>85</v>
      </c>
      <c r="I175" s="28"/>
      <c r="J175" s="28"/>
    </row>
    <row r="176" spans="1:12" s="20" customFormat="1" x14ac:dyDescent="0.3">
      <c r="A176" s="37">
        <f t="shared" ca="1" si="2"/>
        <v>162</v>
      </c>
      <c r="B176" s="49" t="s">
        <v>459</v>
      </c>
      <c r="C176" s="49"/>
      <c r="D176" s="49"/>
      <c r="E176" s="49"/>
      <c r="F176" s="32" t="s">
        <v>460</v>
      </c>
      <c r="G176" s="28" t="s">
        <v>17</v>
      </c>
      <c r="H176" s="13" t="s">
        <v>85</v>
      </c>
      <c r="I176" s="28"/>
      <c r="J176" s="28"/>
    </row>
    <row r="177" spans="1:19" s="20" customFormat="1" x14ac:dyDescent="0.3">
      <c r="A177" s="37">
        <f t="shared" ca="1" si="2"/>
        <v>163</v>
      </c>
      <c r="B177" s="49" t="s">
        <v>459</v>
      </c>
      <c r="C177" s="49"/>
      <c r="D177" s="49"/>
      <c r="E177" s="49"/>
      <c r="F177" s="32" t="s">
        <v>461</v>
      </c>
      <c r="G177" s="28" t="s">
        <v>101</v>
      </c>
      <c r="H177" s="13" t="s">
        <v>85</v>
      </c>
      <c r="I177" s="28"/>
      <c r="J177" s="28"/>
    </row>
    <row r="178" spans="1:19" s="20" customFormat="1" x14ac:dyDescent="0.3">
      <c r="A178" s="37">
        <f t="shared" ca="1" si="2"/>
        <v>164</v>
      </c>
      <c r="B178" s="49" t="s">
        <v>459</v>
      </c>
      <c r="C178" s="49"/>
      <c r="D178" s="49"/>
      <c r="E178" s="49"/>
      <c r="F178" s="32" t="s">
        <v>462</v>
      </c>
      <c r="G178" s="28" t="s">
        <v>101</v>
      </c>
      <c r="H178" s="13" t="s">
        <v>85</v>
      </c>
      <c r="I178" s="28"/>
      <c r="J178" s="28"/>
    </row>
    <row r="179" spans="1:19" s="20" customFormat="1" x14ac:dyDescent="0.3">
      <c r="A179" s="37">
        <f t="shared" ca="1" si="2"/>
        <v>165</v>
      </c>
      <c r="B179" s="49" t="s">
        <v>459</v>
      </c>
      <c r="C179" s="49"/>
      <c r="D179" s="49"/>
      <c r="E179" s="49"/>
      <c r="F179" s="32" t="s">
        <v>464</v>
      </c>
      <c r="G179" s="28" t="s">
        <v>101</v>
      </c>
      <c r="H179" s="13" t="s">
        <v>85</v>
      </c>
      <c r="I179" s="28"/>
      <c r="J179" s="28"/>
    </row>
    <row r="180" spans="1:19" s="20" customFormat="1" x14ac:dyDescent="0.3">
      <c r="A180" s="37">
        <f t="shared" ca="1" si="2"/>
        <v>166</v>
      </c>
      <c r="B180" s="49" t="s">
        <v>459</v>
      </c>
      <c r="C180" s="49"/>
      <c r="D180" s="49"/>
      <c r="E180" s="49"/>
      <c r="F180" s="32" t="s">
        <v>425</v>
      </c>
      <c r="G180" s="28" t="s">
        <v>101</v>
      </c>
      <c r="H180" s="13" t="s">
        <v>85</v>
      </c>
      <c r="I180" s="28"/>
      <c r="J180" s="28"/>
    </row>
    <row r="181" spans="1:19" s="20" customFormat="1" x14ac:dyDescent="0.3">
      <c r="A181" s="37">
        <f t="shared" ca="1" si="2"/>
        <v>167</v>
      </c>
      <c r="B181" s="49" t="s">
        <v>443</v>
      </c>
      <c r="C181" s="49"/>
      <c r="D181" s="49"/>
      <c r="E181" s="49"/>
      <c r="F181" s="32" t="s">
        <v>444</v>
      </c>
      <c r="G181" s="28"/>
      <c r="H181" s="13" t="s">
        <v>82</v>
      </c>
      <c r="I181" s="28"/>
      <c r="J181" s="28"/>
    </row>
    <row r="182" spans="1:19" s="20" customFormat="1" x14ac:dyDescent="0.3">
      <c r="A182" s="37">
        <f t="shared" ca="1" si="2"/>
        <v>168</v>
      </c>
      <c r="B182" s="49" t="s">
        <v>443</v>
      </c>
      <c r="C182" s="49"/>
      <c r="D182" s="49"/>
      <c r="E182" s="49"/>
      <c r="F182" s="32" t="s">
        <v>445</v>
      </c>
      <c r="G182" s="28"/>
      <c r="H182" s="13" t="s">
        <v>82</v>
      </c>
      <c r="I182" s="28"/>
      <c r="J182" s="28"/>
    </row>
    <row r="183" spans="1:19" s="20" customFormat="1" x14ac:dyDescent="0.3">
      <c r="A183" s="37">
        <f t="shared" ca="1" si="2"/>
        <v>169</v>
      </c>
      <c r="B183" s="49" t="s">
        <v>443</v>
      </c>
      <c r="C183" s="49"/>
      <c r="D183" s="49"/>
      <c r="E183" s="49"/>
      <c r="F183" s="32" t="s">
        <v>425</v>
      </c>
      <c r="G183" s="28"/>
      <c r="H183" s="13" t="s">
        <v>82</v>
      </c>
      <c r="I183" s="28"/>
      <c r="J183" s="28"/>
    </row>
    <row r="184" spans="1:19" s="20" customFormat="1" ht="55.95" customHeight="1" x14ac:dyDescent="0.3">
      <c r="A184" s="37">
        <f t="shared" ca="1" si="2"/>
        <v>170</v>
      </c>
      <c r="B184" s="49" t="s">
        <v>466</v>
      </c>
      <c r="C184" s="49"/>
      <c r="D184" s="49"/>
      <c r="E184" s="49"/>
      <c r="F184" s="32" t="s">
        <v>467</v>
      </c>
      <c r="G184" s="28" t="s">
        <v>81</v>
      </c>
      <c r="H184" s="72" t="s">
        <v>85</v>
      </c>
      <c r="I184" s="4" t="s">
        <v>468</v>
      </c>
      <c r="J184" s="28"/>
    </row>
    <row r="185" spans="1:19" s="20" customFormat="1" ht="115.2" x14ac:dyDescent="0.3">
      <c r="A185" s="37">
        <f t="shared" ca="1" si="2"/>
        <v>171</v>
      </c>
      <c r="B185" s="49" t="s">
        <v>466</v>
      </c>
      <c r="C185" s="49"/>
      <c r="D185" s="49"/>
      <c r="E185" s="49"/>
      <c r="F185" s="32" t="s">
        <v>469</v>
      </c>
      <c r="G185" s="28" t="s">
        <v>101</v>
      </c>
      <c r="H185" s="72" t="s">
        <v>85</v>
      </c>
      <c r="I185" s="4" t="s">
        <v>470</v>
      </c>
      <c r="J185" s="28"/>
    </row>
    <row r="186" spans="1:19" s="20" customFormat="1" ht="100.8" x14ac:dyDescent="0.3">
      <c r="A186" s="37">
        <f t="shared" ca="1" si="2"/>
        <v>172</v>
      </c>
      <c r="B186" s="49" t="s">
        <v>466</v>
      </c>
      <c r="C186" s="49"/>
      <c r="D186" s="49"/>
      <c r="E186" s="49"/>
      <c r="F186" s="32" t="s">
        <v>471</v>
      </c>
      <c r="G186" s="28" t="s">
        <v>101</v>
      </c>
      <c r="H186" s="72" t="s">
        <v>85</v>
      </c>
      <c r="I186" s="4" t="s">
        <v>472</v>
      </c>
      <c r="J186" s="28"/>
    </row>
    <row r="187" spans="1:19" s="144" customFormat="1" ht="28.95" customHeight="1" x14ac:dyDescent="0.3">
      <c r="A187" s="139">
        <v>203</v>
      </c>
      <c r="B187" s="138" t="s">
        <v>466</v>
      </c>
      <c r="C187" s="138"/>
      <c r="D187" s="138"/>
      <c r="E187" s="138"/>
      <c r="F187" s="140" t="s">
        <v>473</v>
      </c>
      <c r="G187" s="4" t="s">
        <v>101</v>
      </c>
      <c r="H187" s="72" t="s">
        <v>85</v>
      </c>
      <c r="I187" s="179" t="s">
        <v>474</v>
      </c>
      <c r="J187" s="141"/>
      <c r="K187" s="141"/>
      <c r="L187" s="141"/>
      <c r="M187" s="141"/>
      <c r="N187" s="141"/>
      <c r="O187" s="142"/>
      <c r="P187" s="141"/>
      <c r="Q187" s="141"/>
      <c r="R187" s="143" t="s">
        <v>82</v>
      </c>
      <c r="S187" s="142"/>
    </row>
    <row r="188" spans="1:19" s="144" customFormat="1" x14ac:dyDescent="0.3">
      <c r="A188" s="139">
        <v>204</v>
      </c>
      <c r="B188" s="138" t="s">
        <v>466</v>
      </c>
      <c r="C188" s="138"/>
      <c r="D188" s="138"/>
      <c r="E188" s="138"/>
      <c r="F188" s="140" t="s">
        <v>118</v>
      </c>
      <c r="G188" s="141" t="s">
        <v>101</v>
      </c>
      <c r="H188" s="72" t="s">
        <v>85</v>
      </c>
      <c r="I188" s="180"/>
      <c r="J188" s="141"/>
      <c r="K188" s="141"/>
      <c r="L188" s="141"/>
      <c r="M188" s="141"/>
      <c r="N188" s="141"/>
      <c r="O188" s="142"/>
      <c r="P188" s="141"/>
      <c r="Q188" s="141"/>
      <c r="R188" s="143" t="s">
        <v>82</v>
      </c>
      <c r="S188" s="142"/>
    </row>
    <row r="189" spans="1:19" s="144" customFormat="1" x14ac:dyDescent="0.3">
      <c r="A189" s="139">
        <v>205</v>
      </c>
      <c r="B189" s="138" t="s">
        <v>466</v>
      </c>
      <c r="C189" s="138"/>
      <c r="D189" s="138"/>
      <c r="E189" s="138"/>
      <c r="F189" s="140" t="s">
        <v>475</v>
      </c>
      <c r="G189" s="141" t="s">
        <v>101</v>
      </c>
      <c r="H189" s="72" t="s">
        <v>85</v>
      </c>
      <c r="I189" s="180"/>
      <c r="J189" s="141"/>
      <c r="K189" s="141"/>
      <c r="L189" s="141"/>
      <c r="M189" s="141"/>
      <c r="N189" s="141"/>
      <c r="O189" s="142"/>
      <c r="P189" s="141"/>
      <c r="Q189" s="141"/>
      <c r="R189" s="143" t="s">
        <v>82</v>
      </c>
      <c r="S189" s="142"/>
    </row>
    <row r="190" spans="1:19" s="144" customFormat="1" x14ac:dyDescent="0.3">
      <c r="A190" s="139">
        <v>205</v>
      </c>
      <c r="B190" s="138" t="s">
        <v>466</v>
      </c>
      <c r="C190" s="138"/>
      <c r="D190" s="138"/>
      <c r="E190" s="138"/>
      <c r="F190" s="140" t="s">
        <v>476</v>
      </c>
      <c r="G190" s="141" t="s">
        <v>101</v>
      </c>
      <c r="H190" s="72" t="s">
        <v>85</v>
      </c>
      <c r="I190" s="181"/>
      <c r="J190" s="141"/>
      <c r="K190" s="141"/>
      <c r="L190" s="141"/>
      <c r="M190" s="141"/>
      <c r="N190" s="141"/>
      <c r="O190" s="142"/>
      <c r="P190" s="141"/>
      <c r="Q190" s="141"/>
      <c r="R190" s="143" t="s">
        <v>82</v>
      </c>
      <c r="S190" s="142"/>
    </row>
    <row r="191" spans="1:19" x14ac:dyDescent="0.3">
      <c r="A191" s="37">
        <f ca="1">A186+1</f>
        <v>173</v>
      </c>
      <c r="B191" s="14" t="s">
        <v>285</v>
      </c>
      <c r="C191" s="14"/>
      <c r="D191" s="14"/>
      <c r="E191" s="14"/>
      <c r="F191" s="27" t="s">
        <v>286</v>
      </c>
      <c r="G191" s="11" t="s">
        <v>101</v>
      </c>
      <c r="H191" s="13" t="s">
        <v>85</v>
      </c>
      <c r="I191" s="4"/>
      <c r="J191" s="4"/>
    </row>
    <row r="192" spans="1:19" x14ac:dyDescent="0.3">
      <c r="A192" s="37">
        <f t="shared" ca="1" si="2"/>
        <v>174</v>
      </c>
      <c r="B192" s="14" t="s">
        <v>285</v>
      </c>
      <c r="C192" s="14"/>
      <c r="D192" s="14"/>
      <c r="E192" s="14"/>
      <c r="F192" s="27" t="s">
        <v>289</v>
      </c>
      <c r="G192" s="11" t="s">
        <v>101</v>
      </c>
      <c r="H192" s="13" t="s">
        <v>85</v>
      </c>
      <c r="I192" s="4"/>
      <c r="J192" s="4"/>
    </row>
    <row r="193" spans="1:12" x14ac:dyDescent="0.3">
      <c r="A193" s="37">
        <f t="shared" ca="1" si="2"/>
        <v>175</v>
      </c>
      <c r="B193" s="14" t="s">
        <v>285</v>
      </c>
      <c r="C193" s="14"/>
      <c r="D193" s="14"/>
      <c r="E193" s="14"/>
      <c r="F193" s="27" t="s">
        <v>292</v>
      </c>
      <c r="G193" s="11" t="s">
        <v>101</v>
      </c>
      <c r="H193" s="13" t="s">
        <v>85</v>
      </c>
      <c r="I193" s="4"/>
      <c r="J193" s="4"/>
    </row>
    <row r="194" spans="1:12" x14ac:dyDescent="0.3">
      <c r="A194" s="37">
        <f t="shared" ca="1" si="2"/>
        <v>176</v>
      </c>
      <c r="B194" s="14" t="s">
        <v>294</v>
      </c>
      <c r="C194" s="14"/>
      <c r="D194" s="14"/>
      <c r="E194" s="14"/>
      <c r="F194" s="27" t="s">
        <v>295</v>
      </c>
      <c r="G194" s="11" t="s">
        <v>125</v>
      </c>
      <c r="H194" s="13" t="s">
        <v>85</v>
      </c>
      <c r="I194" s="4"/>
      <c r="J194" s="4"/>
    </row>
    <row r="195" spans="1:12" x14ac:dyDescent="0.3">
      <c r="A195" s="37">
        <f t="shared" ca="1" si="2"/>
        <v>177</v>
      </c>
      <c r="B195" s="14" t="s">
        <v>294</v>
      </c>
      <c r="C195" s="14"/>
      <c r="D195" s="14"/>
      <c r="E195" s="14"/>
      <c r="F195" s="27" t="s">
        <v>296</v>
      </c>
      <c r="G195" s="11" t="s">
        <v>101</v>
      </c>
      <c r="H195" s="13" t="s">
        <v>85</v>
      </c>
      <c r="I195" s="4"/>
      <c r="J195" s="4"/>
    </row>
    <row r="196" spans="1:12" x14ac:dyDescent="0.3">
      <c r="A196" s="37">
        <f t="shared" ca="1" si="2"/>
        <v>178</v>
      </c>
      <c r="B196" s="14" t="s">
        <v>294</v>
      </c>
      <c r="C196" s="14"/>
      <c r="D196" s="14"/>
      <c r="E196" s="14"/>
      <c r="F196" s="27" t="s">
        <v>298</v>
      </c>
      <c r="G196" s="11" t="s">
        <v>152</v>
      </c>
      <c r="H196" s="13" t="s">
        <v>85</v>
      </c>
      <c r="I196" s="4"/>
      <c r="J196" s="4"/>
    </row>
    <row r="197" spans="1:12" x14ac:dyDescent="0.3">
      <c r="A197" s="37">
        <f t="shared" ca="1" si="2"/>
        <v>179</v>
      </c>
      <c r="B197" s="14" t="s">
        <v>294</v>
      </c>
      <c r="C197" s="14"/>
      <c r="D197" s="14"/>
      <c r="E197" s="14"/>
      <c r="F197" s="27" t="s">
        <v>299</v>
      </c>
      <c r="G197" s="11" t="s">
        <v>101</v>
      </c>
      <c r="H197" s="13" t="s">
        <v>85</v>
      </c>
      <c r="I197" s="4"/>
      <c r="J197" s="4"/>
    </row>
    <row r="198" spans="1:12" x14ac:dyDescent="0.3">
      <c r="A198" s="37">
        <f t="shared" ca="1" si="2"/>
        <v>180</v>
      </c>
      <c r="B198" s="14" t="s">
        <v>294</v>
      </c>
      <c r="C198" s="14"/>
      <c r="D198" s="14"/>
      <c r="E198" s="14"/>
      <c r="F198" s="27" t="s">
        <v>301</v>
      </c>
      <c r="G198" s="11" t="s">
        <v>101</v>
      </c>
      <c r="H198" s="13" t="s">
        <v>85</v>
      </c>
      <c r="I198" s="4"/>
      <c r="J198" s="4"/>
      <c r="K198" s="4"/>
      <c r="L198" s="4" t="s">
        <v>87</v>
      </c>
    </row>
    <row r="199" spans="1:12" x14ac:dyDescent="0.3">
      <c r="A199" s="37">
        <f t="shared" ca="1" si="2"/>
        <v>181</v>
      </c>
      <c r="B199" s="14" t="s">
        <v>294</v>
      </c>
      <c r="C199" s="14"/>
      <c r="D199" s="14"/>
      <c r="E199" s="14"/>
      <c r="F199" s="27" t="s">
        <v>177</v>
      </c>
      <c r="G199" s="11" t="s">
        <v>101</v>
      </c>
      <c r="H199" s="13" t="s">
        <v>85</v>
      </c>
      <c r="I199" s="4"/>
      <c r="J199" s="4"/>
      <c r="K199" s="4"/>
      <c r="L199" s="4" t="s">
        <v>87</v>
      </c>
    </row>
    <row r="200" spans="1:12" x14ac:dyDescent="0.3">
      <c r="A200" s="37">
        <f t="shared" ca="1" si="2"/>
        <v>182</v>
      </c>
      <c r="B200" s="14" t="s">
        <v>294</v>
      </c>
      <c r="C200" s="14"/>
      <c r="D200" s="14"/>
      <c r="E200" s="14"/>
      <c r="F200" s="27" t="s">
        <v>305</v>
      </c>
      <c r="G200" s="11" t="s">
        <v>101</v>
      </c>
      <c r="H200" s="13" t="s">
        <v>85</v>
      </c>
      <c r="I200" s="4"/>
      <c r="J200" s="4"/>
    </row>
    <row r="201" spans="1:12" x14ac:dyDescent="0.3">
      <c r="A201" s="37">
        <f t="shared" ca="1" si="2"/>
        <v>183</v>
      </c>
      <c r="B201" s="14" t="s">
        <v>294</v>
      </c>
      <c r="C201" s="14"/>
      <c r="D201" s="14"/>
      <c r="E201" s="14"/>
      <c r="F201" s="27" t="s">
        <v>307</v>
      </c>
      <c r="G201" s="11" t="s">
        <v>101</v>
      </c>
      <c r="H201" s="13" t="s">
        <v>85</v>
      </c>
      <c r="I201" s="4"/>
      <c r="J201" s="4"/>
    </row>
    <row r="202" spans="1:12" x14ac:dyDescent="0.3">
      <c r="A202" s="37">
        <f t="shared" ca="1" si="2"/>
        <v>184</v>
      </c>
      <c r="B202" s="14" t="s">
        <v>308</v>
      </c>
      <c r="C202" s="14"/>
      <c r="D202" s="14"/>
      <c r="E202" s="14"/>
      <c r="F202" s="49" t="s">
        <v>309</v>
      </c>
      <c r="G202" s="11" t="s">
        <v>101</v>
      </c>
      <c r="H202" s="13" t="s">
        <v>85</v>
      </c>
      <c r="I202" s="4"/>
      <c r="J202" s="4"/>
    </row>
    <row r="203" spans="1:12" x14ac:dyDescent="0.3">
      <c r="A203" s="37">
        <f t="shared" ca="1" si="2"/>
        <v>185</v>
      </c>
      <c r="B203" s="14" t="s">
        <v>308</v>
      </c>
      <c r="C203" s="14"/>
      <c r="D203" s="14"/>
      <c r="E203" s="14"/>
      <c r="F203" s="49" t="s">
        <v>147</v>
      </c>
      <c r="G203" s="11" t="s">
        <v>101</v>
      </c>
      <c r="H203" s="13" t="s">
        <v>85</v>
      </c>
      <c r="I203" s="4"/>
      <c r="J203" s="4"/>
      <c r="K203" s="4"/>
      <c r="L203" s="4" t="s">
        <v>87</v>
      </c>
    </row>
    <row r="204" spans="1:12" x14ac:dyDescent="0.3">
      <c r="A204" s="37">
        <f t="shared" ca="1" si="2"/>
        <v>186</v>
      </c>
      <c r="B204" s="14" t="s">
        <v>308</v>
      </c>
      <c r="C204" s="14"/>
      <c r="D204" s="14"/>
      <c r="E204" s="14"/>
      <c r="F204" s="49" t="s">
        <v>186</v>
      </c>
      <c r="G204" s="4" t="s">
        <v>81</v>
      </c>
      <c r="H204" s="13" t="s">
        <v>85</v>
      </c>
      <c r="I204" s="4"/>
      <c r="J204" s="4"/>
      <c r="K204" s="4"/>
      <c r="L204" s="4" t="s">
        <v>87</v>
      </c>
    </row>
    <row r="205" spans="1:12" x14ac:dyDescent="0.3">
      <c r="A205" s="37">
        <f t="shared" ca="1" si="2"/>
        <v>187</v>
      </c>
      <c r="B205" s="14" t="s">
        <v>421</v>
      </c>
      <c r="C205" s="14"/>
      <c r="D205" s="14"/>
      <c r="E205" s="14"/>
      <c r="F205" s="49" t="s">
        <v>422</v>
      </c>
      <c r="G205" s="17" t="s">
        <v>101</v>
      </c>
      <c r="H205" s="13" t="s">
        <v>85</v>
      </c>
      <c r="I205" s="4"/>
      <c r="J205" s="4"/>
    </row>
    <row r="206" spans="1:12" x14ac:dyDescent="0.3">
      <c r="A206" s="37">
        <f t="shared" ca="1" si="2"/>
        <v>188</v>
      </c>
      <c r="B206" s="14" t="s">
        <v>421</v>
      </c>
      <c r="C206" s="14"/>
      <c r="D206" s="14"/>
      <c r="E206" s="14"/>
      <c r="F206" s="49" t="s">
        <v>423</v>
      </c>
      <c r="G206" s="17" t="s">
        <v>101</v>
      </c>
      <c r="H206" s="13" t="s">
        <v>85</v>
      </c>
      <c r="I206" s="4"/>
      <c r="J206" s="4"/>
    </row>
    <row r="207" spans="1:12" x14ac:dyDescent="0.3">
      <c r="A207" s="37">
        <f t="shared" ca="1" si="2"/>
        <v>189</v>
      </c>
      <c r="B207" s="14" t="s">
        <v>421</v>
      </c>
      <c r="C207" s="14"/>
      <c r="D207" s="14"/>
      <c r="E207" s="14"/>
      <c r="F207" s="49" t="s">
        <v>425</v>
      </c>
      <c r="G207" s="17" t="s">
        <v>101</v>
      </c>
      <c r="H207" s="13" t="s">
        <v>85</v>
      </c>
      <c r="I207" s="4"/>
      <c r="J207" s="4"/>
    </row>
    <row r="208" spans="1:12" x14ac:dyDescent="0.3">
      <c r="A208" s="37">
        <f t="shared" ca="1" si="2"/>
        <v>190</v>
      </c>
      <c r="B208" s="14" t="s">
        <v>421</v>
      </c>
      <c r="C208" s="14"/>
      <c r="D208" s="14"/>
      <c r="E208" s="14"/>
      <c r="F208" s="105" t="s">
        <v>109</v>
      </c>
      <c r="G208" s="85" t="s">
        <v>95</v>
      </c>
      <c r="H208" s="110" t="s">
        <v>85</v>
      </c>
      <c r="I208" s="98" t="s">
        <v>566</v>
      </c>
      <c r="J208" s="4"/>
    </row>
    <row r="209" spans="1:12" x14ac:dyDescent="0.3">
      <c r="A209" s="37">
        <f ca="1">A207+1</f>
        <v>190</v>
      </c>
      <c r="B209" s="14" t="s">
        <v>421</v>
      </c>
      <c r="C209" s="14"/>
      <c r="D209" s="14"/>
      <c r="E209" s="14"/>
      <c r="F209" s="104" t="s">
        <v>111</v>
      </c>
      <c r="G209" s="106" t="s">
        <v>98</v>
      </c>
      <c r="H209" s="111" t="s">
        <v>85</v>
      </c>
      <c r="I209" s="4" t="s">
        <v>567</v>
      </c>
      <c r="J209" s="4"/>
    </row>
    <row r="210" spans="1:12" x14ac:dyDescent="0.3">
      <c r="A210" s="37">
        <f t="shared" ca="1" si="2"/>
        <v>191</v>
      </c>
      <c r="B210" s="14" t="s">
        <v>429</v>
      </c>
      <c r="C210" s="14"/>
      <c r="D210" s="14"/>
      <c r="E210" s="14"/>
      <c r="F210" s="49" t="s">
        <v>430</v>
      </c>
      <c r="G210" s="4" t="s">
        <v>101</v>
      </c>
      <c r="H210" s="13" t="s">
        <v>85</v>
      </c>
      <c r="I210" s="4"/>
      <c r="J210" s="4"/>
    </row>
    <row r="211" spans="1:12" x14ac:dyDescent="0.3">
      <c r="A211" s="37">
        <f t="shared" ca="1" si="2"/>
        <v>192</v>
      </c>
      <c r="B211" s="14" t="s">
        <v>429</v>
      </c>
      <c r="C211" s="14"/>
      <c r="D211" s="14"/>
      <c r="E211" s="14"/>
      <c r="F211" s="49" t="s">
        <v>431</v>
      </c>
      <c r="G211" s="4" t="s">
        <v>125</v>
      </c>
      <c r="H211" s="13" t="s">
        <v>85</v>
      </c>
      <c r="I211" s="4"/>
      <c r="J211" s="4"/>
    </row>
    <row r="212" spans="1:12" x14ac:dyDescent="0.3">
      <c r="A212" s="37">
        <f t="shared" ca="1" si="2"/>
        <v>193</v>
      </c>
      <c r="B212" s="14" t="s">
        <v>429</v>
      </c>
      <c r="C212" s="14"/>
      <c r="D212" s="14"/>
      <c r="E212" s="14"/>
      <c r="F212" s="49" t="s">
        <v>433</v>
      </c>
      <c r="G212" s="4" t="s">
        <v>125</v>
      </c>
      <c r="H212" s="13" t="s">
        <v>85</v>
      </c>
      <c r="I212" s="4"/>
      <c r="J212" s="4"/>
    </row>
    <row r="213" spans="1:12" x14ac:dyDescent="0.3">
      <c r="A213" s="37">
        <f t="shared" ref="A213:A224" ca="1" si="3">A212+1</f>
        <v>194</v>
      </c>
      <c r="B213" s="14" t="s">
        <v>429</v>
      </c>
      <c r="C213" s="14"/>
      <c r="D213" s="14"/>
      <c r="E213" s="14"/>
      <c r="F213" s="49" t="s">
        <v>435</v>
      </c>
      <c r="G213" s="4" t="s">
        <v>125</v>
      </c>
      <c r="H213" s="13" t="s">
        <v>85</v>
      </c>
      <c r="I213" s="4"/>
      <c r="J213" s="4"/>
    </row>
    <row r="214" spans="1:12" x14ac:dyDescent="0.3">
      <c r="A214" s="37">
        <f t="shared" ca="1" si="3"/>
        <v>195</v>
      </c>
      <c r="B214" s="14" t="s">
        <v>429</v>
      </c>
      <c r="C214" s="14"/>
      <c r="D214" s="14"/>
      <c r="E214" s="14"/>
      <c r="F214" s="49" t="s">
        <v>437</v>
      </c>
      <c r="G214" s="4" t="s">
        <v>125</v>
      </c>
      <c r="H214" s="13" t="s">
        <v>85</v>
      </c>
      <c r="I214" s="4"/>
      <c r="J214" s="4"/>
    </row>
    <row r="215" spans="1:12" x14ac:dyDescent="0.3">
      <c r="A215" s="37">
        <f t="shared" ca="1" si="3"/>
        <v>196</v>
      </c>
      <c r="B215" s="14" t="s">
        <v>429</v>
      </c>
      <c r="C215" s="14"/>
      <c r="D215" s="14"/>
      <c r="E215" s="14"/>
      <c r="F215" s="49" t="s">
        <v>439</v>
      </c>
      <c r="G215" s="4" t="s">
        <v>125</v>
      </c>
      <c r="H215" s="13" t="s">
        <v>85</v>
      </c>
      <c r="I215" s="4"/>
      <c r="J215" s="4"/>
    </row>
    <row r="216" spans="1:12" x14ac:dyDescent="0.3">
      <c r="A216" s="37">
        <f t="shared" ca="1" si="3"/>
        <v>197</v>
      </c>
      <c r="B216" s="14" t="s">
        <v>429</v>
      </c>
      <c r="C216" s="14"/>
      <c r="D216" s="14"/>
      <c r="E216" s="14"/>
      <c r="F216" s="49" t="s">
        <v>441</v>
      </c>
      <c r="G216" s="4" t="s">
        <v>125</v>
      </c>
      <c r="H216" s="13" t="s">
        <v>85</v>
      </c>
      <c r="I216" s="4"/>
      <c r="J216" s="4"/>
    </row>
    <row r="217" spans="1:12" x14ac:dyDescent="0.3">
      <c r="A217" s="37">
        <f t="shared" ca="1" si="3"/>
        <v>198</v>
      </c>
      <c r="B217" s="14" t="s">
        <v>446</v>
      </c>
      <c r="C217" s="13" t="s">
        <v>82</v>
      </c>
      <c r="D217" s="14"/>
      <c r="E217" s="14"/>
      <c r="F217" s="49" t="s">
        <v>335</v>
      </c>
      <c r="G217" s="4" t="s">
        <v>101</v>
      </c>
      <c r="H217" s="13" t="s">
        <v>85</v>
      </c>
      <c r="I217" s="4"/>
      <c r="J217" s="4"/>
    </row>
    <row r="218" spans="1:12" x14ac:dyDescent="0.3">
      <c r="A218" s="37">
        <f t="shared" ca="1" si="3"/>
        <v>199</v>
      </c>
      <c r="B218" s="14" t="s">
        <v>446</v>
      </c>
      <c r="C218" s="13" t="s">
        <v>82</v>
      </c>
      <c r="D218" s="14"/>
      <c r="E218" s="14"/>
      <c r="F218" s="49" t="s">
        <v>449</v>
      </c>
      <c r="G218" s="4" t="s">
        <v>101</v>
      </c>
      <c r="H218" s="13" t="s">
        <v>85</v>
      </c>
      <c r="I218" s="4"/>
      <c r="J218" s="4"/>
      <c r="K218" s="4"/>
      <c r="L218" s="4" t="s">
        <v>87</v>
      </c>
    </row>
    <row r="219" spans="1:12" x14ac:dyDescent="0.3">
      <c r="A219" s="37">
        <f t="shared" ca="1" si="3"/>
        <v>200</v>
      </c>
      <c r="B219" s="14" t="s">
        <v>446</v>
      </c>
      <c r="C219" s="13" t="s">
        <v>82</v>
      </c>
      <c r="D219" s="14"/>
      <c r="E219" s="14"/>
      <c r="F219" s="49" t="s">
        <v>451</v>
      </c>
      <c r="G219" s="4" t="s">
        <v>101</v>
      </c>
      <c r="H219" s="13" t="s">
        <v>85</v>
      </c>
      <c r="I219" s="4"/>
      <c r="J219" s="4"/>
      <c r="K219" s="4"/>
      <c r="L219" s="4" t="s">
        <v>87</v>
      </c>
    </row>
    <row r="220" spans="1:12" x14ac:dyDescent="0.3">
      <c r="A220" s="37">
        <f t="shared" ca="1" si="3"/>
        <v>201</v>
      </c>
      <c r="B220" s="14" t="s">
        <v>454</v>
      </c>
      <c r="C220" s="14"/>
      <c r="D220" s="14"/>
      <c r="E220" s="14"/>
      <c r="F220" s="49" t="s">
        <v>425</v>
      </c>
      <c r="G220" s="4" t="s">
        <v>101</v>
      </c>
      <c r="H220" s="13" t="s">
        <v>85</v>
      </c>
      <c r="I220" s="18"/>
      <c r="J220" s="18"/>
    </row>
    <row r="221" spans="1:12" x14ac:dyDescent="0.3">
      <c r="A221" s="37">
        <f t="shared" ca="1" si="3"/>
        <v>202</v>
      </c>
      <c r="B221" s="14" t="s">
        <v>454</v>
      </c>
      <c r="C221" s="14"/>
      <c r="D221" s="14"/>
      <c r="E221" s="104" t="s">
        <v>319</v>
      </c>
      <c r="F221" s="105" t="s">
        <v>109</v>
      </c>
      <c r="G221" s="85" t="s">
        <v>95</v>
      </c>
      <c r="H221" s="110" t="s">
        <v>85</v>
      </c>
      <c r="I221" s="98" t="s">
        <v>566</v>
      </c>
      <c r="J221" s="18"/>
    </row>
    <row r="222" spans="1:12" x14ac:dyDescent="0.3">
      <c r="A222" s="37">
        <f ca="1">A220+1</f>
        <v>202</v>
      </c>
      <c r="B222" s="14" t="s">
        <v>454</v>
      </c>
      <c r="C222" s="14"/>
      <c r="D222" s="14"/>
      <c r="E222" s="106" t="s">
        <v>319</v>
      </c>
      <c r="F222" s="104" t="s">
        <v>111</v>
      </c>
      <c r="G222" s="106" t="s">
        <v>98</v>
      </c>
      <c r="H222" s="111" t="s">
        <v>85</v>
      </c>
      <c r="I222" s="4" t="s">
        <v>567</v>
      </c>
      <c r="J222" s="18"/>
    </row>
    <row r="223" spans="1:12" x14ac:dyDescent="0.3">
      <c r="A223" s="37">
        <f t="shared" ca="1" si="3"/>
        <v>203</v>
      </c>
      <c r="B223" s="14" t="s">
        <v>454</v>
      </c>
      <c r="C223" s="14"/>
      <c r="D223" s="14"/>
      <c r="E223" s="14"/>
      <c r="F223" s="49" t="s">
        <v>423</v>
      </c>
      <c r="G223" s="4" t="s">
        <v>101</v>
      </c>
      <c r="H223" s="13" t="s">
        <v>85</v>
      </c>
      <c r="I223" s="18"/>
      <c r="J223" s="18"/>
    </row>
    <row r="224" spans="1:12" x14ac:dyDescent="0.3">
      <c r="A224" s="37">
        <f t="shared" ca="1" si="3"/>
        <v>204</v>
      </c>
      <c r="B224" s="14" t="s">
        <v>454</v>
      </c>
      <c r="C224" s="14"/>
      <c r="D224" s="14"/>
      <c r="E224" s="14"/>
      <c r="F224" s="49" t="s">
        <v>289</v>
      </c>
      <c r="G224" s="4" t="s">
        <v>101</v>
      </c>
      <c r="H224" s="13" t="s">
        <v>85</v>
      </c>
      <c r="I224" s="18"/>
      <c r="J224" s="18"/>
    </row>
    <row r="225" spans="1:1" x14ac:dyDescent="0.3">
      <c r="A225" s="27"/>
    </row>
  </sheetData>
  <mergeCells count="9">
    <mergeCell ref="I187:I190"/>
    <mergeCell ref="H22:H23"/>
    <mergeCell ref="A1:N1"/>
    <mergeCell ref="A2:N2"/>
    <mergeCell ref="A6:N6"/>
    <mergeCell ref="A7:N7"/>
    <mergeCell ref="G4:G5"/>
    <mergeCell ref="A4:A5"/>
    <mergeCell ref="H20:H21"/>
  </mergeCells>
  <phoneticPr fontId="32" type="noConversion"/>
  <conditionalFormatting sqref="F9">
    <cfRule type="duplicateValues" dxfId="0" priority="1"/>
  </conditionalFormatting>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3EB280-F9BF-4E98-9A9F-5FC9D405FDBD}">
  <dimension ref="A1:N15"/>
  <sheetViews>
    <sheetView workbookViewId="0">
      <selection activeCell="A8" sqref="A8:M9"/>
    </sheetView>
  </sheetViews>
  <sheetFormatPr defaultRowHeight="14.4" x14ac:dyDescent="0.3"/>
  <cols>
    <col min="2" max="2" width="36.109375" bestFit="1" customWidth="1"/>
    <col min="5" max="5" width="22.88671875" customWidth="1"/>
    <col min="8" max="8" width="51.33203125" customWidth="1"/>
  </cols>
  <sheetData>
    <row r="1" spans="1:14" s="20" customFormat="1" ht="18" x14ac:dyDescent="0.35">
      <c r="A1" s="209" t="s">
        <v>573</v>
      </c>
      <c r="B1" s="209"/>
      <c r="C1" s="209"/>
      <c r="D1" s="209"/>
      <c r="E1" s="209"/>
      <c r="F1" s="209"/>
      <c r="G1" s="209"/>
      <c r="H1" s="209"/>
      <c r="I1" s="209"/>
      <c r="J1" s="209"/>
      <c r="K1" s="209"/>
      <c r="L1" s="209"/>
      <c r="M1" s="209"/>
      <c r="N1" s="209"/>
    </row>
    <row r="2" spans="1:14" ht="18" x14ac:dyDescent="0.35">
      <c r="A2" s="166" t="s">
        <v>55</v>
      </c>
      <c r="B2" s="166"/>
      <c r="C2" s="166"/>
      <c r="D2" s="166"/>
      <c r="E2" s="166"/>
      <c r="F2" s="166"/>
      <c r="G2" s="166"/>
      <c r="H2" s="166"/>
      <c r="I2" s="166"/>
      <c r="J2" s="166"/>
      <c r="K2" s="166"/>
      <c r="L2" s="166"/>
      <c r="M2" s="166"/>
      <c r="N2" s="166"/>
    </row>
    <row r="3" spans="1:14" x14ac:dyDescent="0.3">
      <c r="A3" s="210" t="s">
        <v>57</v>
      </c>
      <c r="B3" s="210"/>
      <c r="C3" s="210"/>
      <c r="D3" s="210"/>
      <c r="E3" s="210"/>
      <c r="F3" s="210"/>
      <c r="G3" s="210"/>
      <c r="H3" s="210"/>
      <c r="I3" s="210"/>
      <c r="J3" s="210"/>
      <c r="K3" s="210"/>
      <c r="L3" s="210"/>
      <c r="M3" s="210"/>
      <c r="N3" s="210"/>
    </row>
    <row r="4" spans="1:14" x14ac:dyDescent="0.3">
      <c r="A4" s="165" t="s">
        <v>574</v>
      </c>
      <c r="B4" s="165"/>
      <c r="C4" s="165"/>
      <c r="D4" s="165"/>
      <c r="E4" s="165"/>
      <c r="F4" s="165"/>
      <c r="G4" s="165"/>
      <c r="H4" s="165"/>
      <c r="I4" s="165"/>
      <c r="J4" s="165"/>
      <c r="K4" s="165"/>
      <c r="L4" s="165"/>
      <c r="M4" s="165"/>
      <c r="N4" s="165"/>
    </row>
    <row r="5" spans="1:14" x14ac:dyDescent="0.3">
      <c r="A5" s="210" t="s">
        <v>57</v>
      </c>
      <c r="B5" s="210"/>
      <c r="C5" s="210"/>
      <c r="D5" s="210"/>
      <c r="E5" s="210"/>
      <c r="F5" s="210"/>
      <c r="G5" s="210"/>
      <c r="H5" s="210"/>
      <c r="I5" s="210"/>
      <c r="J5" s="210"/>
      <c r="K5" s="210"/>
      <c r="L5" s="210"/>
      <c r="M5" s="210"/>
      <c r="N5" s="210"/>
    </row>
    <row r="6" spans="1:14" ht="18" x14ac:dyDescent="0.35">
      <c r="A6" s="166" t="s">
        <v>558</v>
      </c>
      <c r="B6" s="166"/>
      <c r="C6" s="166"/>
      <c r="D6" s="166"/>
      <c r="E6" s="166"/>
      <c r="F6" s="166"/>
      <c r="G6" s="166"/>
      <c r="H6" s="166"/>
      <c r="I6" s="166"/>
      <c r="J6" s="166"/>
      <c r="K6" s="166"/>
      <c r="L6" s="166"/>
      <c r="M6" s="166"/>
      <c r="N6" s="166"/>
    </row>
    <row r="7" spans="1:14" ht="100.8" x14ac:dyDescent="0.3">
      <c r="A7" s="5" t="s">
        <v>60</v>
      </c>
      <c r="B7" s="5" t="s">
        <v>61</v>
      </c>
      <c r="C7" s="5" t="s">
        <v>62</v>
      </c>
      <c r="D7" s="5" t="s">
        <v>63</v>
      </c>
      <c r="E7" s="5" t="s">
        <v>65</v>
      </c>
      <c r="F7" s="5" t="s">
        <v>66</v>
      </c>
      <c r="G7" s="5" t="s">
        <v>478</v>
      </c>
      <c r="H7" s="5" t="s">
        <v>68</v>
      </c>
      <c r="I7" s="5" t="s">
        <v>479</v>
      </c>
      <c r="J7" s="5" t="s">
        <v>72</v>
      </c>
      <c r="K7" s="5" t="s">
        <v>73</v>
      </c>
      <c r="L7" s="6" t="s">
        <v>74</v>
      </c>
      <c r="M7" s="7" t="s">
        <v>480</v>
      </c>
      <c r="N7" s="7" t="s">
        <v>481</v>
      </c>
    </row>
    <row r="8" spans="1:14" x14ac:dyDescent="0.3">
      <c r="A8" s="97">
        <v>1</v>
      </c>
      <c r="B8" s="49" t="s">
        <v>511</v>
      </c>
      <c r="C8" s="97"/>
      <c r="D8" s="97" t="s">
        <v>82</v>
      </c>
      <c r="E8" s="3" t="s">
        <v>335</v>
      </c>
      <c r="F8" s="49" t="s">
        <v>95</v>
      </c>
      <c r="G8" s="186" t="s">
        <v>82</v>
      </c>
      <c r="H8" s="32" t="s">
        <v>559</v>
      </c>
      <c r="I8" s="97"/>
      <c r="J8" s="97"/>
      <c r="K8" s="97"/>
      <c r="L8" s="100"/>
      <c r="M8" s="91"/>
      <c r="N8" s="91"/>
    </row>
    <row r="9" spans="1:14" ht="28.8" x14ac:dyDescent="0.3">
      <c r="A9" s="36">
        <v>2</v>
      </c>
      <c r="B9" s="49" t="s">
        <v>511</v>
      </c>
      <c r="C9" s="3"/>
      <c r="D9" s="36" t="s">
        <v>82</v>
      </c>
      <c r="E9" s="16" t="s">
        <v>449</v>
      </c>
      <c r="F9" s="4" t="s">
        <v>98</v>
      </c>
      <c r="G9" s="188"/>
      <c r="H9" s="4" t="s">
        <v>575</v>
      </c>
      <c r="I9" s="13" t="s">
        <v>85</v>
      </c>
      <c r="J9" s="3"/>
      <c r="K9" s="3"/>
      <c r="L9" s="3"/>
      <c r="M9" s="3"/>
      <c r="N9" s="13" t="s">
        <v>82</v>
      </c>
    </row>
    <row r="10" spans="1:14" ht="18" x14ac:dyDescent="0.35">
      <c r="A10" s="170" t="s">
        <v>477</v>
      </c>
      <c r="B10" s="171"/>
      <c r="C10" s="171"/>
      <c r="D10" s="171"/>
      <c r="E10" s="171"/>
      <c r="F10" s="171"/>
      <c r="G10" s="171"/>
      <c r="H10" s="171"/>
      <c r="I10" s="171"/>
      <c r="J10" s="171"/>
      <c r="K10" s="171"/>
      <c r="L10" s="171"/>
      <c r="M10" s="171"/>
      <c r="N10" s="172"/>
    </row>
    <row r="11" spans="1:14" ht="100.8" x14ac:dyDescent="0.3">
      <c r="A11" s="38" t="s">
        <v>60</v>
      </c>
      <c r="B11" s="5" t="s">
        <v>61</v>
      </c>
      <c r="C11" s="5" t="s">
        <v>62</v>
      </c>
      <c r="D11" s="5" t="s">
        <v>63</v>
      </c>
      <c r="E11" s="5" t="s">
        <v>65</v>
      </c>
      <c r="F11" s="5" t="s">
        <v>66</v>
      </c>
      <c r="G11" s="5" t="s">
        <v>478</v>
      </c>
      <c r="H11" s="5" t="s">
        <v>68</v>
      </c>
      <c r="I11" s="5" t="s">
        <v>479</v>
      </c>
      <c r="J11" s="5" t="s">
        <v>72</v>
      </c>
      <c r="K11" s="5" t="s">
        <v>73</v>
      </c>
      <c r="L11" s="6" t="s">
        <v>74</v>
      </c>
      <c r="M11" s="7" t="s">
        <v>480</v>
      </c>
      <c r="N11" s="7" t="s">
        <v>481</v>
      </c>
    </row>
    <row r="12" spans="1:14" x14ac:dyDescent="0.3">
      <c r="A12" s="37">
        <v>1</v>
      </c>
      <c r="B12" s="3" t="s">
        <v>482</v>
      </c>
      <c r="C12" s="3" t="s">
        <v>85</v>
      </c>
      <c r="D12" s="3" t="s">
        <v>82</v>
      </c>
      <c r="E12" s="3" t="s">
        <v>483</v>
      </c>
      <c r="F12" s="3" t="s">
        <v>125</v>
      </c>
      <c r="G12" s="13" t="s">
        <v>82</v>
      </c>
      <c r="H12" s="3" t="s">
        <v>555</v>
      </c>
      <c r="I12" s="13" t="s">
        <v>85</v>
      </c>
      <c r="J12" s="3"/>
      <c r="K12" s="3"/>
      <c r="L12" s="3"/>
      <c r="M12" s="3"/>
      <c r="N12" s="3"/>
    </row>
    <row r="13" spans="1:14" x14ac:dyDescent="0.3">
      <c r="A13" s="37">
        <f>A12+1</f>
        <v>2</v>
      </c>
      <c r="B13" s="3" t="s">
        <v>482</v>
      </c>
      <c r="C13" s="3" t="s">
        <v>82</v>
      </c>
      <c r="D13" s="3"/>
      <c r="E13" s="3" t="s">
        <v>485</v>
      </c>
      <c r="F13" s="3" t="s">
        <v>101</v>
      </c>
      <c r="G13" s="13" t="s">
        <v>82</v>
      </c>
      <c r="H13" s="3" t="s">
        <v>576</v>
      </c>
      <c r="I13" s="13" t="s">
        <v>82</v>
      </c>
      <c r="J13" s="3"/>
      <c r="K13" s="3"/>
      <c r="L13" s="3"/>
      <c r="M13" s="3"/>
      <c r="N13" s="3"/>
    </row>
    <row r="14" spans="1:14" x14ac:dyDescent="0.3">
      <c r="A14" s="37">
        <f>A13+1</f>
        <v>3</v>
      </c>
      <c r="B14" s="3" t="s">
        <v>482</v>
      </c>
      <c r="C14" s="3" t="s">
        <v>85</v>
      </c>
      <c r="D14" s="3"/>
      <c r="E14" s="3" t="s">
        <v>491</v>
      </c>
      <c r="F14" s="3" t="s">
        <v>492</v>
      </c>
      <c r="G14" s="13" t="s">
        <v>82</v>
      </c>
      <c r="H14" s="3" t="s">
        <v>493</v>
      </c>
      <c r="I14" s="3"/>
      <c r="J14" s="3"/>
      <c r="K14" s="3"/>
      <c r="L14" s="3"/>
      <c r="M14" s="3"/>
      <c r="N14" s="3" t="s">
        <v>85</v>
      </c>
    </row>
    <row r="15" spans="1:14" x14ac:dyDescent="0.3">
      <c r="A15" s="33" t="s">
        <v>496</v>
      </c>
    </row>
  </sheetData>
  <mergeCells count="8">
    <mergeCell ref="A10:N10"/>
    <mergeCell ref="A1:N1"/>
    <mergeCell ref="A2:N2"/>
    <mergeCell ref="A3:N3"/>
    <mergeCell ref="A4:N4"/>
    <mergeCell ref="A5:N5"/>
    <mergeCell ref="A6:N6"/>
    <mergeCell ref="G8:G9"/>
  </mergeCells>
  <hyperlinks>
    <hyperlink ref="A15" location="Index!A1" display="Back to Index" xr:uid="{106B8696-E03D-4B58-8441-9B120474B244}"/>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9A2055-4A55-4A03-8755-71A52C40D6C1}">
  <dimension ref="A1:N18"/>
  <sheetViews>
    <sheetView topLeftCell="A10" workbookViewId="0">
      <selection activeCell="H19" sqref="H19"/>
    </sheetView>
  </sheetViews>
  <sheetFormatPr defaultRowHeight="14.4" x14ac:dyDescent="0.3"/>
  <cols>
    <col min="1" max="1" width="5.33203125" style="20" customWidth="1"/>
    <col min="2" max="2" width="32.6640625" style="21" bestFit="1" customWidth="1"/>
    <col min="3" max="4" width="9.109375" style="21"/>
    <col min="5" max="5" width="22.33203125" customWidth="1"/>
    <col min="6" max="6" width="14.33203125" customWidth="1"/>
    <col min="7" max="7" width="13.33203125" customWidth="1"/>
    <col min="8" max="8" width="55.33203125" style="16" customWidth="1"/>
  </cols>
  <sheetData>
    <row r="1" spans="1:14" s="20" customFormat="1" ht="39.75" customHeight="1" x14ac:dyDescent="0.35">
      <c r="A1" s="213" t="s">
        <v>577</v>
      </c>
      <c r="B1" s="213"/>
      <c r="C1" s="213"/>
      <c r="D1" s="213"/>
      <c r="E1" s="213"/>
      <c r="F1" s="213"/>
      <c r="G1" s="213"/>
      <c r="H1" s="213"/>
      <c r="I1" s="213"/>
      <c r="J1" s="213"/>
      <c r="K1" s="213"/>
      <c r="L1" s="213"/>
      <c r="M1" s="213"/>
      <c r="N1" s="213"/>
    </row>
    <row r="2" spans="1:14" ht="18" x14ac:dyDescent="0.35">
      <c r="A2" s="166" t="s">
        <v>55</v>
      </c>
      <c r="B2" s="166"/>
      <c r="C2" s="166"/>
      <c r="D2" s="166"/>
      <c r="E2" s="166"/>
      <c r="F2" s="166"/>
      <c r="G2" s="166"/>
      <c r="H2" s="166"/>
      <c r="I2" s="166"/>
      <c r="J2" s="166"/>
      <c r="K2" s="166"/>
      <c r="L2" s="166"/>
      <c r="M2" s="166"/>
      <c r="N2" s="166"/>
    </row>
    <row r="3" spans="1:14" x14ac:dyDescent="0.3">
      <c r="A3" s="210" t="s">
        <v>57</v>
      </c>
      <c r="B3" s="210"/>
      <c r="C3" s="210"/>
      <c r="D3" s="210"/>
      <c r="E3" s="210"/>
      <c r="F3" s="210"/>
      <c r="G3" s="210"/>
      <c r="H3" s="210"/>
      <c r="I3" s="210"/>
      <c r="J3" s="210"/>
      <c r="K3" s="210"/>
      <c r="L3" s="210"/>
      <c r="M3" s="210"/>
      <c r="N3" s="210"/>
    </row>
    <row r="4" spans="1:14" x14ac:dyDescent="0.3">
      <c r="A4" s="214" t="s">
        <v>578</v>
      </c>
      <c r="B4" s="214"/>
      <c r="C4" s="214"/>
      <c r="D4" s="214"/>
      <c r="E4" s="214"/>
      <c r="F4" s="214"/>
      <c r="G4" s="214"/>
      <c r="H4" s="214"/>
      <c r="I4" s="214"/>
      <c r="J4" s="214"/>
      <c r="K4" s="214"/>
      <c r="L4" s="214"/>
      <c r="M4" s="214"/>
      <c r="N4" s="215"/>
    </row>
    <row r="5" spans="1:14" x14ac:dyDescent="0.3">
      <c r="A5" s="216" t="s">
        <v>579</v>
      </c>
      <c r="B5" s="216"/>
      <c r="C5" s="216"/>
      <c r="D5" s="216"/>
      <c r="E5" s="216"/>
      <c r="F5" s="216"/>
      <c r="G5" s="216"/>
      <c r="H5" s="216"/>
      <c r="I5" s="216"/>
      <c r="J5" s="216"/>
      <c r="K5" s="216"/>
      <c r="L5" s="216"/>
      <c r="M5" s="216"/>
      <c r="N5" s="217"/>
    </row>
    <row r="6" spans="1:14" x14ac:dyDescent="0.3">
      <c r="A6" s="216" t="s">
        <v>580</v>
      </c>
      <c r="B6" s="216"/>
      <c r="C6" s="216"/>
      <c r="D6" s="216"/>
      <c r="E6" s="216"/>
      <c r="F6" s="216"/>
      <c r="G6" s="216"/>
      <c r="H6" s="216"/>
      <c r="I6" s="216"/>
      <c r="J6" s="216"/>
      <c r="K6" s="216"/>
      <c r="L6" s="216"/>
      <c r="M6" s="216"/>
      <c r="N6" s="217"/>
    </row>
    <row r="7" spans="1:14" x14ac:dyDescent="0.3">
      <c r="A7" s="211" t="s">
        <v>581</v>
      </c>
      <c r="B7" s="211"/>
      <c r="C7" s="211"/>
      <c r="D7" s="211"/>
      <c r="E7" s="211"/>
      <c r="F7" s="211"/>
      <c r="G7" s="211"/>
      <c r="H7" s="211"/>
      <c r="I7" s="211"/>
      <c r="J7" s="211"/>
      <c r="K7" s="211"/>
      <c r="L7" s="211"/>
      <c r="M7" s="211"/>
      <c r="N7" s="212"/>
    </row>
    <row r="8" spans="1:14" x14ac:dyDescent="0.3">
      <c r="A8" s="210" t="s">
        <v>57</v>
      </c>
      <c r="B8" s="210"/>
      <c r="C8" s="210"/>
      <c r="D8" s="210"/>
      <c r="E8" s="210"/>
      <c r="F8" s="210"/>
      <c r="G8" s="210"/>
      <c r="H8" s="210"/>
      <c r="I8" s="210"/>
      <c r="J8" s="210"/>
      <c r="K8" s="210"/>
      <c r="L8" s="210"/>
      <c r="M8" s="210"/>
      <c r="N8" s="210"/>
    </row>
    <row r="9" spans="1:14" ht="18" x14ac:dyDescent="0.35">
      <c r="A9" s="166" t="s">
        <v>558</v>
      </c>
      <c r="B9" s="166"/>
      <c r="C9" s="166"/>
      <c r="D9" s="166"/>
      <c r="E9" s="166"/>
      <c r="F9" s="166"/>
      <c r="G9" s="166"/>
      <c r="H9" s="166"/>
      <c r="I9" s="166"/>
      <c r="J9" s="166"/>
      <c r="K9" s="166"/>
      <c r="L9" s="166"/>
      <c r="M9" s="166"/>
      <c r="N9" s="166"/>
    </row>
    <row r="10" spans="1:14" ht="100.8" x14ac:dyDescent="0.3">
      <c r="A10" s="5" t="s">
        <v>60</v>
      </c>
      <c r="B10" s="5" t="s">
        <v>61</v>
      </c>
      <c r="C10" s="5" t="s">
        <v>62</v>
      </c>
      <c r="D10" s="5" t="s">
        <v>63</v>
      </c>
      <c r="E10" s="5" t="s">
        <v>65</v>
      </c>
      <c r="F10" s="5" t="s">
        <v>66</v>
      </c>
      <c r="G10" s="5" t="s">
        <v>478</v>
      </c>
      <c r="H10" s="5" t="s">
        <v>68</v>
      </c>
      <c r="I10" s="5" t="s">
        <v>479</v>
      </c>
      <c r="J10" s="5" t="s">
        <v>72</v>
      </c>
      <c r="K10" s="5" t="s">
        <v>73</v>
      </c>
      <c r="L10" s="6" t="s">
        <v>74</v>
      </c>
      <c r="M10" s="7" t="s">
        <v>480</v>
      </c>
      <c r="N10" s="7" t="s">
        <v>481</v>
      </c>
    </row>
    <row r="11" spans="1:14" x14ac:dyDescent="0.3">
      <c r="A11" s="97">
        <v>1</v>
      </c>
      <c r="B11" s="49" t="s">
        <v>511</v>
      </c>
      <c r="C11" s="97"/>
      <c r="D11" s="97" t="s">
        <v>82</v>
      </c>
      <c r="E11" s="3" t="s">
        <v>335</v>
      </c>
      <c r="F11" s="49" t="s">
        <v>95</v>
      </c>
      <c r="G11" s="186" t="s">
        <v>82</v>
      </c>
      <c r="H11" s="32" t="s">
        <v>559</v>
      </c>
      <c r="I11" s="97"/>
      <c r="J11" s="97"/>
      <c r="K11" s="97"/>
      <c r="L11" s="100"/>
      <c r="M11" s="91"/>
      <c r="N11" s="91"/>
    </row>
    <row r="12" spans="1:14" ht="28.8" x14ac:dyDescent="0.3">
      <c r="A12" s="36">
        <v>2</v>
      </c>
      <c r="B12" s="49" t="s">
        <v>511</v>
      </c>
      <c r="C12" s="3"/>
      <c r="D12" s="36" t="s">
        <v>82</v>
      </c>
      <c r="E12" s="16" t="s">
        <v>449</v>
      </c>
      <c r="F12" s="4" t="s">
        <v>98</v>
      </c>
      <c r="G12" s="188"/>
      <c r="H12" s="4" t="s">
        <v>575</v>
      </c>
      <c r="I12" s="13" t="s">
        <v>85</v>
      </c>
      <c r="J12" s="3"/>
      <c r="K12" s="3"/>
      <c r="L12" s="3"/>
      <c r="M12" s="3"/>
      <c r="N12" s="13" t="s">
        <v>82</v>
      </c>
    </row>
    <row r="13" spans="1:14" ht="18" x14ac:dyDescent="0.35">
      <c r="A13" s="170" t="s">
        <v>477</v>
      </c>
      <c r="B13" s="171"/>
      <c r="C13" s="171"/>
      <c r="D13" s="171"/>
      <c r="E13" s="171"/>
      <c r="F13" s="171"/>
      <c r="G13" s="171"/>
      <c r="H13" s="171"/>
      <c r="I13" s="171"/>
      <c r="J13" s="171"/>
      <c r="K13" s="171"/>
      <c r="L13" s="171"/>
      <c r="M13" s="171"/>
      <c r="N13" s="172"/>
    </row>
    <row r="14" spans="1:14" ht="100.8" x14ac:dyDescent="0.3">
      <c r="A14" s="38" t="s">
        <v>60</v>
      </c>
      <c r="B14" s="5" t="s">
        <v>61</v>
      </c>
      <c r="C14" s="5" t="s">
        <v>62</v>
      </c>
      <c r="D14" s="5" t="s">
        <v>63</v>
      </c>
      <c r="E14" s="5" t="s">
        <v>65</v>
      </c>
      <c r="F14" s="5" t="s">
        <v>66</v>
      </c>
      <c r="G14" s="5" t="s">
        <v>478</v>
      </c>
      <c r="H14" s="5" t="s">
        <v>68</v>
      </c>
      <c r="I14" s="5" t="s">
        <v>479</v>
      </c>
      <c r="J14" s="5" t="s">
        <v>72</v>
      </c>
      <c r="K14" s="5" t="s">
        <v>73</v>
      </c>
      <c r="L14" s="6" t="s">
        <v>74</v>
      </c>
      <c r="M14" s="7" t="s">
        <v>480</v>
      </c>
      <c r="N14" s="7" t="s">
        <v>481</v>
      </c>
    </row>
    <row r="15" spans="1:14" x14ac:dyDescent="0.3">
      <c r="A15" s="37">
        <v>1</v>
      </c>
      <c r="B15" s="3" t="s">
        <v>482</v>
      </c>
      <c r="C15" s="10" t="s">
        <v>85</v>
      </c>
      <c r="D15" s="10" t="s">
        <v>82</v>
      </c>
      <c r="E15" s="3" t="s">
        <v>483</v>
      </c>
      <c r="F15" s="3" t="s">
        <v>125</v>
      </c>
      <c r="G15" s="13" t="s">
        <v>82</v>
      </c>
      <c r="H15" s="3" t="s">
        <v>555</v>
      </c>
      <c r="I15" s="13" t="s">
        <v>85</v>
      </c>
      <c r="J15" s="3"/>
      <c r="K15" s="3"/>
      <c r="L15" s="3"/>
      <c r="M15" s="3"/>
      <c r="N15" s="3"/>
    </row>
    <row r="16" spans="1:14" x14ac:dyDescent="0.3">
      <c r="A16" s="37">
        <f>A15+1</f>
        <v>2</v>
      </c>
      <c r="B16" s="3" t="s">
        <v>482</v>
      </c>
      <c r="C16" s="10" t="s">
        <v>82</v>
      </c>
      <c r="D16" s="10"/>
      <c r="E16" s="3" t="s">
        <v>485</v>
      </c>
      <c r="F16" s="3" t="s">
        <v>101</v>
      </c>
      <c r="G16" s="13" t="s">
        <v>82</v>
      </c>
      <c r="H16" s="3" t="s">
        <v>576</v>
      </c>
      <c r="I16" s="13" t="s">
        <v>82</v>
      </c>
      <c r="J16" s="3"/>
      <c r="K16" s="3"/>
      <c r="L16" s="3"/>
      <c r="M16" s="3"/>
      <c r="N16" s="3"/>
    </row>
    <row r="17" spans="1:14" x14ac:dyDescent="0.3">
      <c r="A17" s="37">
        <f>A16+1</f>
        <v>3</v>
      </c>
      <c r="B17" s="3" t="s">
        <v>482</v>
      </c>
      <c r="C17" s="10" t="s">
        <v>85</v>
      </c>
      <c r="D17" s="10"/>
      <c r="E17" s="3" t="s">
        <v>582</v>
      </c>
      <c r="F17" s="3" t="s">
        <v>492</v>
      </c>
      <c r="G17" s="13" t="s">
        <v>82</v>
      </c>
      <c r="H17" s="4" t="s">
        <v>583</v>
      </c>
      <c r="I17" s="3"/>
      <c r="J17" s="3"/>
      <c r="K17" s="3"/>
      <c r="L17" s="3"/>
      <c r="M17" s="3"/>
      <c r="N17" s="10" t="s">
        <v>85</v>
      </c>
    </row>
    <row r="18" spans="1:14" x14ac:dyDescent="0.3">
      <c r="A18" s="33" t="s">
        <v>496</v>
      </c>
    </row>
  </sheetData>
  <mergeCells count="11">
    <mergeCell ref="A7:N7"/>
    <mergeCell ref="A8:N8"/>
    <mergeCell ref="A9:N9"/>
    <mergeCell ref="A13:N13"/>
    <mergeCell ref="A1:N1"/>
    <mergeCell ref="A2:N2"/>
    <mergeCell ref="A3:N3"/>
    <mergeCell ref="A4:N4"/>
    <mergeCell ref="A5:N5"/>
    <mergeCell ref="A6:N6"/>
    <mergeCell ref="G11:G12"/>
  </mergeCells>
  <hyperlinks>
    <hyperlink ref="A18" location="Index!A1" display="Back to Index" xr:uid="{BE5C609A-AB20-439A-8E11-76422CC9EBAA}"/>
  </hyperlinks>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3D235-D471-4D2B-99E6-33AAA01A2E74}">
  <dimension ref="A1:N43"/>
  <sheetViews>
    <sheetView zoomScale="80" zoomScaleNormal="80" workbookViewId="0">
      <selection activeCell="E4" sqref="E4"/>
    </sheetView>
  </sheetViews>
  <sheetFormatPr defaultRowHeight="14.4" x14ac:dyDescent="0.3"/>
  <cols>
    <col min="1" max="1" width="4.44140625" customWidth="1"/>
    <col min="2" max="2" width="30.6640625" customWidth="1"/>
    <col min="3" max="4" width="13.44140625" customWidth="1"/>
    <col min="5" max="5" width="37.88671875" customWidth="1"/>
    <col min="6" max="6" width="20" customWidth="1"/>
    <col min="8" max="8" width="39.33203125" bestFit="1" customWidth="1"/>
    <col min="13" max="13" width="9.6640625" customWidth="1"/>
  </cols>
  <sheetData>
    <row r="1" spans="1:14" ht="18" x14ac:dyDescent="0.35">
      <c r="A1" s="166" t="s">
        <v>584</v>
      </c>
      <c r="B1" s="166"/>
      <c r="C1" s="166"/>
      <c r="D1" s="166"/>
      <c r="E1" s="166"/>
      <c r="F1" s="166"/>
      <c r="G1" s="166"/>
      <c r="H1" s="166"/>
      <c r="I1" s="166"/>
      <c r="J1" s="166"/>
      <c r="K1" s="166"/>
      <c r="L1" s="166"/>
      <c r="M1" s="166"/>
      <c r="N1" s="166"/>
    </row>
    <row r="2" spans="1:14" s="8" customFormat="1" ht="18" x14ac:dyDescent="0.35">
      <c r="A2" s="166" t="s">
        <v>558</v>
      </c>
      <c r="B2" s="166"/>
      <c r="C2" s="166"/>
      <c r="D2" s="166"/>
      <c r="E2" s="166"/>
      <c r="F2" s="166"/>
      <c r="G2" s="166"/>
      <c r="H2" s="166"/>
      <c r="I2" s="166"/>
      <c r="J2" s="166"/>
      <c r="K2" s="166"/>
      <c r="L2" s="166"/>
      <c r="M2" s="166"/>
      <c r="N2" s="166"/>
    </row>
    <row r="3" spans="1:14" ht="86.4" x14ac:dyDescent="0.3">
      <c r="A3" s="5" t="s">
        <v>60</v>
      </c>
      <c r="B3" s="5" t="s">
        <v>61</v>
      </c>
      <c r="C3" s="5" t="s">
        <v>62</v>
      </c>
      <c r="D3" s="5" t="s">
        <v>63</v>
      </c>
      <c r="E3" s="5" t="s">
        <v>65</v>
      </c>
      <c r="F3" s="5" t="s">
        <v>66</v>
      </c>
      <c r="G3" s="5" t="s">
        <v>478</v>
      </c>
      <c r="H3" s="5" t="s">
        <v>68</v>
      </c>
      <c r="I3" s="5" t="s">
        <v>479</v>
      </c>
      <c r="J3" s="5" t="s">
        <v>72</v>
      </c>
      <c r="K3" s="5" t="s">
        <v>73</v>
      </c>
      <c r="L3" s="6" t="s">
        <v>74</v>
      </c>
      <c r="M3" s="7" t="s">
        <v>480</v>
      </c>
      <c r="N3" s="7" t="s">
        <v>585</v>
      </c>
    </row>
    <row r="4" spans="1:14" x14ac:dyDescent="0.3">
      <c r="A4" s="2">
        <v>1</v>
      </c>
      <c r="B4" s="3"/>
      <c r="C4" s="3"/>
      <c r="D4" s="3"/>
      <c r="E4" s="3" t="s">
        <v>586</v>
      </c>
      <c r="F4" s="3" t="s">
        <v>101</v>
      </c>
      <c r="G4" s="13" t="s">
        <v>85</v>
      </c>
      <c r="H4" s="3" t="s">
        <v>587</v>
      </c>
      <c r="I4" s="3"/>
      <c r="J4" s="3"/>
      <c r="K4" s="3"/>
      <c r="L4" s="3"/>
      <c r="M4" s="3"/>
      <c r="N4" s="36" t="s">
        <v>82</v>
      </c>
    </row>
    <row r="5" spans="1:14" x14ac:dyDescent="0.3">
      <c r="A5" s="37" cm="1">
        <f t="array" aca="1" ref="A5" ca="1">INDIRECT(ADDRESS(ROW()-1,COLUMN()))+1</f>
        <v>2</v>
      </c>
      <c r="B5" s="3"/>
      <c r="C5" s="3"/>
      <c r="D5" s="3"/>
      <c r="E5" s="3" t="s">
        <v>588</v>
      </c>
      <c r="F5" s="3" t="s">
        <v>101</v>
      </c>
      <c r="G5" s="13" t="s">
        <v>85</v>
      </c>
      <c r="H5" s="3" t="s">
        <v>587</v>
      </c>
      <c r="I5" s="3"/>
      <c r="J5" s="3"/>
      <c r="K5" s="3"/>
      <c r="L5" s="3"/>
      <c r="M5" s="3"/>
      <c r="N5" s="36" t="s">
        <v>82</v>
      </c>
    </row>
    <row r="6" spans="1:14" x14ac:dyDescent="0.3">
      <c r="A6" s="37" cm="1">
        <f t="array" aca="1" ref="A6" ca="1">INDIRECT(ADDRESS(ROW()-1,COLUMN()))+1</f>
        <v>3</v>
      </c>
      <c r="B6" s="3" t="s">
        <v>589</v>
      </c>
      <c r="C6" s="3"/>
      <c r="D6" s="3"/>
      <c r="E6" s="3" t="s">
        <v>590</v>
      </c>
      <c r="F6" s="3" t="s">
        <v>101</v>
      </c>
      <c r="G6" s="13" t="s">
        <v>85</v>
      </c>
      <c r="H6" s="3" t="s">
        <v>587</v>
      </c>
      <c r="I6" s="3"/>
      <c r="J6" s="3"/>
      <c r="K6" s="3"/>
      <c r="L6" s="3"/>
      <c r="M6" s="3"/>
      <c r="N6" s="36" t="s">
        <v>85</v>
      </c>
    </row>
    <row r="7" spans="1:14" ht="14.4" customHeight="1" x14ac:dyDescent="0.3">
      <c r="A7" s="37" cm="1">
        <f t="array" aca="1" ref="A7" ca="1">INDIRECT(ADDRESS(ROW()-1,COLUMN()))+1</f>
        <v>4</v>
      </c>
      <c r="B7" s="3" t="s">
        <v>589</v>
      </c>
      <c r="C7" s="3"/>
      <c r="D7" s="3"/>
      <c r="E7" t="s">
        <v>487</v>
      </c>
      <c r="F7" s="3" t="s">
        <v>101</v>
      </c>
      <c r="G7" s="79" t="s">
        <v>85</v>
      </c>
      <c r="H7" s="73" t="s">
        <v>591</v>
      </c>
      <c r="I7" s="3"/>
      <c r="J7" s="3"/>
      <c r="K7" s="3"/>
      <c r="L7" s="3"/>
      <c r="M7" s="3"/>
      <c r="N7" s="36" t="s">
        <v>85</v>
      </c>
    </row>
    <row r="8" spans="1:14" x14ac:dyDescent="0.3">
      <c r="A8" s="37" cm="1">
        <f t="array" aca="1" ref="A8" ca="1">INDIRECT(ADDRESS(ROW()-1,COLUMN()))+1</f>
        <v>5</v>
      </c>
      <c r="B8" s="3" t="s">
        <v>589</v>
      </c>
      <c r="C8" s="3"/>
      <c r="D8" s="3"/>
      <c r="E8" s="3" t="s">
        <v>592</v>
      </c>
      <c r="F8" s="3" t="s">
        <v>17</v>
      </c>
      <c r="G8" s="13" t="s">
        <v>85</v>
      </c>
      <c r="H8" s="200" t="s">
        <v>593</v>
      </c>
      <c r="I8" s="36" t="s">
        <v>82</v>
      </c>
      <c r="J8" s="36"/>
      <c r="K8" s="3"/>
      <c r="L8" s="3"/>
      <c r="M8" s="3"/>
      <c r="N8" s="36" t="s">
        <v>85</v>
      </c>
    </row>
    <row r="9" spans="1:14" x14ac:dyDescent="0.3">
      <c r="A9" s="37" cm="1">
        <f t="array" aca="1" ref="A9" ca="1">INDIRECT(ADDRESS(ROW()-1,COLUMN()))+1</f>
        <v>6</v>
      </c>
      <c r="B9" s="3" t="s">
        <v>589</v>
      </c>
      <c r="C9" s="3"/>
      <c r="D9" s="3"/>
      <c r="E9" s="3" t="s">
        <v>594</v>
      </c>
      <c r="F9" s="3" t="s">
        <v>17</v>
      </c>
      <c r="G9" s="13" t="s">
        <v>85</v>
      </c>
      <c r="H9" s="200"/>
      <c r="I9" s="36" t="s">
        <v>82</v>
      </c>
      <c r="J9" s="36"/>
      <c r="K9" s="3"/>
      <c r="L9" s="3"/>
      <c r="M9" s="3"/>
      <c r="N9" s="36" t="s">
        <v>85</v>
      </c>
    </row>
    <row r="10" spans="1:14" ht="43.2" x14ac:dyDescent="0.3">
      <c r="A10" s="37" cm="1">
        <f t="array" aca="1" ref="A10" ca="1">INDIRECT(ADDRESS(ROW()-1,COLUMN()))+1</f>
        <v>7</v>
      </c>
      <c r="B10" s="3" t="s">
        <v>595</v>
      </c>
      <c r="C10" s="3"/>
      <c r="D10" s="3"/>
      <c r="E10" s="12" t="s">
        <v>489</v>
      </c>
      <c r="F10" s="3" t="s">
        <v>101</v>
      </c>
      <c r="G10" s="13" t="s">
        <v>85</v>
      </c>
      <c r="H10" s="81" t="s">
        <v>596</v>
      </c>
      <c r="I10" s="36" t="s">
        <v>82</v>
      </c>
      <c r="J10" s="36"/>
      <c r="K10" s="3"/>
      <c r="L10" s="3"/>
      <c r="M10" s="3"/>
      <c r="N10" s="36" t="s">
        <v>85</v>
      </c>
    </row>
    <row r="11" spans="1:14" ht="28.8" x14ac:dyDescent="0.3">
      <c r="A11" s="37" cm="1">
        <f t="array" aca="1" ref="A11" ca="1">INDIRECT(ADDRESS(ROW()-1,COLUMN()))+1</f>
        <v>8</v>
      </c>
      <c r="B11" s="3" t="s">
        <v>595</v>
      </c>
      <c r="C11" s="3"/>
      <c r="D11" s="3"/>
      <c r="E11" s="3" t="s">
        <v>597</v>
      </c>
      <c r="F11" s="3" t="s">
        <v>524</v>
      </c>
      <c r="G11" s="13" t="s">
        <v>85</v>
      </c>
      <c r="H11" s="4" t="s">
        <v>598</v>
      </c>
      <c r="I11" s="36" t="s">
        <v>82</v>
      </c>
      <c r="J11" s="36" t="s">
        <v>82</v>
      </c>
      <c r="K11" s="3"/>
      <c r="L11" s="3" t="s">
        <v>599</v>
      </c>
      <c r="M11" s="3"/>
      <c r="N11" s="36" t="s">
        <v>85</v>
      </c>
    </row>
    <row r="12" spans="1:14" x14ac:dyDescent="0.3">
      <c r="A12" s="37" cm="1">
        <f t="array" aca="1" ref="A12" ca="1">INDIRECT(ADDRESS(ROW()-1,COLUMN()))+1</f>
        <v>9</v>
      </c>
      <c r="B12" s="3" t="s">
        <v>595</v>
      </c>
      <c r="C12" s="3"/>
      <c r="D12" s="3"/>
      <c r="E12" s="3" t="s">
        <v>600</v>
      </c>
      <c r="F12" s="3" t="s">
        <v>601</v>
      </c>
      <c r="G12" s="13" t="s">
        <v>85</v>
      </c>
      <c r="H12" s="200" t="s">
        <v>602</v>
      </c>
      <c r="I12" s="36" t="s">
        <v>82</v>
      </c>
      <c r="J12" s="36"/>
      <c r="K12" s="3"/>
      <c r="L12" s="3"/>
      <c r="M12" s="3"/>
      <c r="N12" s="36" t="s">
        <v>85</v>
      </c>
    </row>
    <row r="13" spans="1:14" x14ac:dyDescent="0.3">
      <c r="A13" s="37" cm="1">
        <f t="array" aca="1" ref="A13" ca="1">INDIRECT(ADDRESS(ROW()-1,COLUMN()))+1</f>
        <v>10</v>
      </c>
      <c r="B13" s="3" t="s">
        <v>595</v>
      </c>
      <c r="C13" s="3"/>
      <c r="D13" s="3"/>
      <c r="E13" s="3" t="s">
        <v>603</v>
      </c>
      <c r="F13" s="3" t="s">
        <v>601</v>
      </c>
      <c r="G13" s="13" t="s">
        <v>85</v>
      </c>
      <c r="H13" s="200"/>
      <c r="I13" s="36" t="s">
        <v>82</v>
      </c>
      <c r="J13" s="36"/>
      <c r="K13" s="3"/>
      <c r="L13" s="3"/>
      <c r="M13" s="3"/>
      <c r="N13" s="36" t="s">
        <v>85</v>
      </c>
    </row>
    <row r="14" spans="1:14" x14ac:dyDescent="0.3">
      <c r="A14" s="37" cm="1">
        <f t="array" aca="1" ref="A14" ca="1">INDIRECT(ADDRESS(ROW()-1,COLUMN()))+1</f>
        <v>11</v>
      </c>
      <c r="B14" s="3" t="s">
        <v>595</v>
      </c>
      <c r="C14" s="3"/>
      <c r="D14" s="3"/>
      <c r="E14" s="12" t="s">
        <v>604</v>
      </c>
      <c r="F14" s="3" t="s">
        <v>17</v>
      </c>
      <c r="G14" s="13" t="s">
        <v>85</v>
      </c>
      <c r="H14" s="200" t="s">
        <v>605</v>
      </c>
      <c r="I14" s="36" t="s">
        <v>82</v>
      </c>
      <c r="J14" s="36"/>
      <c r="K14" s="3"/>
      <c r="L14" s="3"/>
      <c r="M14" s="3"/>
      <c r="N14" s="36" t="s">
        <v>85</v>
      </c>
    </row>
    <row r="15" spans="1:14" x14ac:dyDescent="0.3">
      <c r="A15" s="37" cm="1">
        <f t="array" aca="1" ref="A15" ca="1">INDIRECT(ADDRESS(ROW()-1,COLUMN()))+1</f>
        <v>12</v>
      </c>
      <c r="B15" s="3" t="s">
        <v>595</v>
      </c>
      <c r="C15" s="3"/>
      <c r="D15" s="3"/>
      <c r="E15" s="12" t="s">
        <v>606</v>
      </c>
      <c r="F15" s="3" t="s">
        <v>17</v>
      </c>
      <c r="G15" s="13" t="s">
        <v>85</v>
      </c>
      <c r="H15" s="200"/>
      <c r="I15" s="36" t="s">
        <v>82</v>
      </c>
      <c r="J15" s="36"/>
      <c r="K15" s="3"/>
      <c r="L15" s="3"/>
      <c r="M15" s="3"/>
      <c r="N15" s="36" t="s">
        <v>85</v>
      </c>
    </row>
    <row r="16" spans="1:14" x14ac:dyDescent="0.3">
      <c r="A16" s="37" cm="1">
        <f t="array" aca="1" ref="A16" ca="1">INDIRECT(ADDRESS(ROW()-1,COLUMN()))+1</f>
        <v>13</v>
      </c>
      <c r="B16" s="3" t="s">
        <v>595</v>
      </c>
      <c r="C16" s="3"/>
      <c r="D16" s="3"/>
      <c r="E16" s="12" t="s">
        <v>607</v>
      </c>
      <c r="F16" s="3" t="s">
        <v>17</v>
      </c>
      <c r="G16" s="13" t="s">
        <v>85</v>
      </c>
      <c r="H16" s="200" t="s">
        <v>608</v>
      </c>
      <c r="I16" s="36" t="s">
        <v>82</v>
      </c>
      <c r="J16" s="36"/>
      <c r="K16" s="3"/>
      <c r="L16" s="3"/>
      <c r="M16" s="3"/>
      <c r="N16" s="36" t="s">
        <v>85</v>
      </c>
    </row>
    <row r="17" spans="1:14" x14ac:dyDescent="0.3">
      <c r="A17" s="37" cm="1">
        <f t="array" aca="1" ref="A17" ca="1">INDIRECT(ADDRESS(ROW()-1,COLUMN()))+1</f>
        <v>14</v>
      </c>
      <c r="B17" s="3" t="s">
        <v>595</v>
      </c>
      <c r="C17" s="3"/>
      <c r="D17" s="3"/>
      <c r="E17" s="12" t="s">
        <v>609</v>
      </c>
      <c r="F17" s="3" t="s">
        <v>17</v>
      </c>
      <c r="G17" s="13" t="s">
        <v>85</v>
      </c>
      <c r="H17" s="200"/>
      <c r="I17" s="36" t="s">
        <v>82</v>
      </c>
      <c r="J17" s="36"/>
      <c r="K17" s="3"/>
      <c r="L17" s="3"/>
      <c r="M17" s="3"/>
      <c r="N17" s="36" t="s">
        <v>85</v>
      </c>
    </row>
    <row r="18" spans="1:14" ht="28.8" x14ac:dyDescent="0.3">
      <c r="A18" s="37" cm="1">
        <f t="array" aca="1" ref="A18" ca="1">INDIRECT(ADDRESS(ROW()-1,COLUMN()))+1</f>
        <v>15</v>
      </c>
      <c r="B18" s="3" t="s">
        <v>595</v>
      </c>
      <c r="C18" s="3"/>
      <c r="D18" s="3"/>
      <c r="E18" s="3" t="s">
        <v>411</v>
      </c>
      <c r="F18" s="3" t="s">
        <v>524</v>
      </c>
      <c r="G18" s="13" t="s">
        <v>85</v>
      </c>
      <c r="H18" s="4" t="s">
        <v>610</v>
      </c>
      <c r="I18" s="36" t="s">
        <v>82</v>
      </c>
      <c r="J18" s="3" t="s">
        <v>82</v>
      </c>
      <c r="K18" s="3"/>
      <c r="L18" s="3" t="s">
        <v>611</v>
      </c>
      <c r="M18" s="3"/>
      <c r="N18" s="36" t="s">
        <v>85</v>
      </c>
    </row>
    <row r="19" spans="1:14" x14ac:dyDescent="0.3">
      <c r="A19" s="37" cm="1">
        <f t="array" aca="1" ref="A19" ca="1">INDIRECT(ADDRESS(ROW()-1,COLUMN()))+1</f>
        <v>16</v>
      </c>
      <c r="B19" s="3" t="s">
        <v>595</v>
      </c>
      <c r="C19" s="10"/>
      <c r="D19" s="10"/>
      <c r="E19" s="3" t="s">
        <v>612</v>
      </c>
      <c r="F19" s="3" t="s">
        <v>101</v>
      </c>
      <c r="G19" s="80" t="s">
        <v>85</v>
      </c>
      <c r="H19" s="4" t="s">
        <v>517</v>
      </c>
      <c r="I19" s="3"/>
      <c r="J19" s="3"/>
    </row>
    <row r="20" spans="1:14" x14ac:dyDescent="0.3">
      <c r="A20" s="210" t="s">
        <v>613</v>
      </c>
      <c r="B20" s="210"/>
      <c r="C20" s="210"/>
      <c r="D20" s="210"/>
      <c r="E20" s="210"/>
      <c r="F20" s="210"/>
      <c r="G20" s="210"/>
      <c r="H20" s="210"/>
      <c r="I20" s="210"/>
      <c r="J20" s="210"/>
      <c r="K20" s="210"/>
      <c r="L20" s="210"/>
      <c r="M20" s="210"/>
      <c r="N20" s="210"/>
    </row>
    <row r="21" spans="1:14" s="8" customFormat="1" ht="18" x14ac:dyDescent="0.35">
      <c r="A21" s="166" t="s">
        <v>477</v>
      </c>
      <c r="B21" s="166"/>
      <c r="C21" s="166"/>
      <c r="D21" s="166"/>
      <c r="E21" s="166"/>
      <c r="F21" s="166"/>
      <c r="G21" s="166"/>
      <c r="H21" s="166"/>
      <c r="I21" s="166"/>
      <c r="J21" s="166"/>
      <c r="K21" s="166"/>
      <c r="L21" s="166"/>
      <c r="M21" s="166"/>
      <c r="N21" s="166"/>
    </row>
    <row r="22" spans="1:14" ht="86.4" x14ac:dyDescent="0.3">
      <c r="A22" s="5" t="s">
        <v>60</v>
      </c>
      <c r="B22" s="5" t="s">
        <v>61</v>
      </c>
      <c r="C22" s="5" t="s">
        <v>62</v>
      </c>
      <c r="D22" s="5" t="s">
        <v>63</v>
      </c>
      <c r="E22" s="5" t="s">
        <v>65</v>
      </c>
      <c r="F22" s="5" t="s">
        <v>66</v>
      </c>
      <c r="G22" s="5" t="s">
        <v>478</v>
      </c>
      <c r="H22" s="5" t="s">
        <v>68</v>
      </c>
      <c r="I22" s="5" t="s">
        <v>479</v>
      </c>
      <c r="J22" s="5" t="s">
        <v>72</v>
      </c>
      <c r="K22" s="8"/>
      <c r="L22" s="8"/>
      <c r="M22" s="8"/>
      <c r="N22" s="8"/>
    </row>
    <row r="23" spans="1:14" x14ac:dyDescent="0.3">
      <c r="A23" s="37">
        <v>1</v>
      </c>
      <c r="B23" s="14"/>
      <c r="C23" s="14"/>
      <c r="D23" s="4"/>
      <c r="E23" s="4" t="s">
        <v>562</v>
      </c>
      <c r="F23" s="3" t="s">
        <v>101</v>
      </c>
      <c r="G23" s="13" t="s">
        <v>82</v>
      </c>
      <c r="H23" s="4" t="s">
        <v>484</v>
      </c>
      <c r="I23" s="4"/>
      <c r="J23" s="4"/>
    </row>
    <row r="24" spans="1:14" x14ac:dyDescent="0.3">
      <c r="A24" s="37" cm="1">
        <f t="array" aca="1" ref="A24" ca="1">INDIRECT(ADDRESS(ROW()-1,COLUMN()))+1</f>
        <v>2</v>
      </c>
      <c r="B24" s="3"/>
      <c r="C24" s="10"/>
      <c r="D24" s="10"/>
      <c r="E24" s="3" t="s">
        <v>586</v>
      </c>
      <c r="F24" s="3" t="s">
        <v>101</v>
      </c>
      <c r="G24" s="10" t="s">
        <v>82</v>
      </c>
      <c r="H24" s="4" t="s">
        <v>614</v>
      </c>
      <c r="I24" s="3"/>
      <c r="J24" s="3"/>
    </row>
    <row r="25" spans="1:14" x14ac:dyDescent="0.3">
      <c r="A25" s="37" cm="1">
        <f t="array" aca="1" ref="A25" ca="1">INDIRECT(ADDRESS(ROW()-1,COLUMN()))+1</f>
        <v>3</v>
      </c>
      <c r="B25" s="3"/>
      <c r="C25" s="10"/>
      <c r="D25" s="10"/>
      <c r="E25" s="3" t="s">
        <v>588</v>
      </c>
      <c r="F25" s="3" t="s">
        <v>101</v>
      </c>
      <c r="G25" s="10" t="s">
        <v>82</v>
      </c>
      <c r="H25" s="4" t="s">
        <v>615</v>
      </c>
      <c r="I25" s="3"/>
      <c r="J25" s="3"/>
    </row>
    <row r="26" spans="1:14" x14ac:dyDescent="0.3">
      <c r="A26" s="37" cm="1">
        <f t="array" aca="1" ref="A26" ca="1">INDIRECT(ADDRESS(ROW()-1,COLUMN()))+1</f>
        <v>4</v>
      </c>
      <c r="B26" s="3"/>
      <c r="C26" s="10"/>
      <c r="D26" s="10"/>
      <c r="E26" s="3" t="s">
        <v>616</v>
      </c>
      <c r="F26" s="3" t="s">
        <v>101</v>
      </c>
      <c r="G26" s="10" t="s">
        <v>82</v>
      </c>
      <c r="H26" s="4" t="s">
        <v>617</v>
      </c>
      <c r="I26" s="3"/>
      <c r="J26" s="3"/>
    </row>
    <row r="27" spans="1:14" x14ac:dyDescent="0.3">
      <c r="A27" s="37" cm="1">
        <f t="array" aca="1" ref="A27" ca="1">INDIRECT(ADDRESS(ROW()-1,COLUMN()))+1</f>
        <v>5</v>
      </c>
      <c r="B27" s="12" t="s">
        <v>618</v>
      </c>
      <c r="C27" s="10" t="s">
        <v>82</v>
      </c>
      <c r="D27" s="10" t="s">
        <v>82</v>
      </c>
      <c r="E27" s="3" t="s">
        <v>590</v>
      </c>
      <c r="F27" s="3" t="s">
        <v>101</v>
      </c>
      <c r="G27" s="10" t="s">
        <v>82</v>
      </c>
      <c r="H27" s="4" t="s">
        <v>619</v>
      </c>
      <c r="I27" s="3"/>
      <c r="J27" s="3"/>
    </row>
    <row r="28" spans="1:14" x14ac:dyDescent="0.3">
      <c r="A28" s="37" cm="1">
        <f t="array" aca="1" ref="A28" ca="1">INDIRECT(ADDRESS(ROW()-1,COLUMN()))+1</f>
        <v>6</v>
      </c>
      <c r="B28" s="12" t="s">
        <v>618</v>
      </c>
      <c r="C28" s="10" t="s">
        <v>82</v>
      </c>
      <c r="D28" s="10" t="s">
        <v>82</v>
      </c>
      <c r="E28" s="3" t="s">
        <v>487</v>
      </c>
      <c r="F28" s="3" t="s">
        <v>101</v>
      </c>
      <c r="G28" s="13" t="s">
        <v>82</v>
      </c>
      <c r="H28" s="3" t="s">
        <v>620</v>
      </c>
      <c r="J28" s="3"/>
    </row>
    <row r="29" spans="1:14" ht="28.8" x14ac:dyDescent="0.3">
      <c r="A29" s="37" cm="1">
        <f t="array" aca="1" ref="A29" ca="1">INDIRECT(ADDRESS(ROW()-1,COLUMN()))+1</f>
        <v>7</v>
      </c>
      <c r="B29" s="3" t="s">
        <v>621</v>
      </c>
      <c r="C29" s="10" t="s">
        <v>82</v>
      </c>
      <c r="D29" s="10" t="s">
        <v>82</v>
      </c>
      <c r="E29" s="3" t="s">
        <v>80</v>
      </c>
      <c r="F29" s="3" t="s">
        <v>152</v>
      </c>
      <c r="G29" s="10" t="s">
        <v>82</v>
      </c>
      <c r="H29" s="4" t="s">
        <v>622</v>
      </c>
      <c r="I29" s="3"/>
      <c r="J29" s="3"/>
    </row>
    <row r="30" spans="1:14" ht="28.8" x14ac:dyDescent="0.3">
      <c r="A30" s="37" cm="1">
        <f t="array" aca="1" ref="A30" ca="1">INDIRECT(ADDRESS(ROW()-1,COLUMN()))+1</f>
        <v>8</v>
      </c>
      <c r="B30" s="3" t="s">
        <v>621</v>
      </c>
      <c r="C30" s="10" t="s">
        <v>82</v>
      </c>
      <c r="D30" s="10" t="s">
        <v>82</v>
      </c>
      <c r="E30" s="3" t="s">
        <v>623</v>
      </c>
      <c r="F30" s="3" t="s">
        <v>152</v>
      </c>
      <c r="G30" s="10" t="s">
        <v>82</v>
      </c>
      <c r="H30" s="4" t="s">
        <v>624</v>
      </c>
      <c r="I30" s="3"/>
      <c r="J30" s="3"/>
    </row>
    <row r="31" spans="1:14" ht="28.8" x14ac:dyDescent="0.3">
      <c r="A31" s="37" cm="1">
        <f t="array" aca="1" ref="A31" ca="1">INDIRECT(ADDRESS(ROW()-1,COLUMN()))+1</f>
        <v>9</v>
      </c>
      <c r="B31" s="3" t="s">
        <v>621</v>
      </c>
      <c r="C31" s="10" t="s">
        <v>82</v>
      </c>
      <c r="D31" s="10" t="s">
        <v>82</v>
      </c>
      <c r="E31" s="3" t="s">
        <v>597</v>
      </c>
      <c r="F31" s="3" t="s">
        <v>101</v>
      </c>
      <c r="G31" s="10" t="s">
        <v>82</v>
      </c>
      <c r="H31" s="4" t="s">
        <v>625</v>
      </c>
      <c r="I31" s="3"/>
      <c r="J31" s="3"/>
    </row>
    <row r="32" spans="1:14" ht="28.8" x14ac:dyDescent="0.3">
      <c r="A32" s="37" cm="1">
        <f t="array" aca="1" ref="A32" ca="1">INDIRECT(ADDRESS(ROW()-1,COLUMN()))+1</f>
        <v>10</v>
      </c>
      <c r="B32" s="3" t="s">
        <v>621</v>
      </c>
      <c r="C32" s="10" t="s">
        <v>82</v>
      </c>
      <c r="D32" s="10" t="s">
        <v>82</v>
      </c>
      <c r="E32" s="3" t="s">
        <v>626</v>
      </c>
      <c r="F32" s="3" t="s">
        <v>101</v>
      </c>
      <c r="G32" s="10" t="s">
        <v>85</v>
      </c>
      <c r="H32" s="4" t="s">
        <v>627</v>
      </c>
      <c r="I32" s="3"/>
      <c r="J32" s="3"/>
    </row>
    <row r="33" spans="1:10" x14ac:dyDescent="0.3">
      <c r="A33" s="37" cm="1">
        <f t="array" aca="1" ref="A33" ca="1">INDIRECT(ADDRESS(ROW()-1,COLUMN()))+1</f>
        <v>11</v>
      </c>
      <c r="B33" s="3" t="s">
        <v>621</v>
      </c>
      <c r="C33" s="10" t="s">
        <v>82</v>
      </c>
      <c r="D33" s="13" t="s">
        <v>82</v>
      </c>
      <c r="E33" s="11" t="s">
        <v>88</v>
      </c>
      <c r="F33" s="4" t="s">
        <v>17</v>
      </c>
      <c r="G33" s="13" t="s">
        <v>82</v>
      </c>
      <c r="H33" s="4" t="s">
        <v>628</v>
      </c>
      <c r="I33" s="4"/>
      <c r="J33" s="4"/>
    </row>
    <row r="34" spans="1:10" x14ac:dyDescent="0.3">
      <c r="A34" s="37" cm="1">
        <f t="array" aca="1" ref="A34" ca="1">INDIRECT(ADDRESS(ROW()-1,COLUMN()))+1</f>
        <v>12</v>
      </c>
      <c r="B34" s="3" t="s">
        <v>621</v>
      </c>
      <c r="C34" s="10" t="s">
        <v>82</v>
      </c>
      <c r="D34" s="10" t="s">
        <v>82</v>
      </c>
      <c r="E34" s="3" t="s">
        <v>629</v>
      </c>
      <c r="F34" s="3" t="s">
        <v>101</v>
      </c>
      <c r="G34" s="10" t="s">
        <v>82</v>
      </c>
      <c r="H34" s="4" t="s">
        <v>630</v>
      </c>
      <c r="I34" s="3"/>
      <c r="J34" s="3"/>
    </row>
    <row r="35" spans="1:10" x14ac:dyDescent="0.3">
      <c r="A35" s="37" cm="1">
        <f t="array" aca="1" ref="A35" ca="1">INDIRECT(ADDRESS(ROW()-1,COLUMN()))+1</f>
        <v>13</v>
      </c>
      <c r="B35" s="3" t="s">
        <v>621</v>
      </c>
      <c r="C35" s="10" t="s">
        <v>82</v>
      </c>
      <c r="D35" s="10" t="s">
        <v>82</v>
      </c>
      <c r="E35" s="12" t="s">
        <v>489</v>
      </c>
      <c r="F35" s="3" t="s">
        <v>101</v>
      </c>
      <c r="G35" s="13" t="s">
        <v>82</v>
      </c>
      <c r="H35" s="3" t="s">
        <v>631</v>
      </c>
      <c r="J35" s="3"/>
    </row>
    <row r="36" spans="1:10" x14ac:dyDescent="0.3">
      <c r="A36" s="37" cm="1">
        <f t="array" aca="1" ref="A36" ca="1">INDIRECT(ADDRESS(ROW()-1,COLUMN()))+1</f>
        <v>14</v>
      </c>
      <c r="B36" s="3" t="s">
        <v>621</v>
      </c>
      <c r="C36" s="10" t="s">
        <v>82</v>
      </c>
      <c r="D36" s="10" t="s">
        <v>82</v>
      </c>
      <c r="E36" s="12" t="s">
        <v>632</v>
      </c>
      <c r="F36" s="3" t="s">
        <v>17</v>
      </c>
      <c r="G36" s="10" t="s">
        <v>82</v>
      </c>
      <c r="H36" s="4" t="s">
        <v>633</v>
      </c>
      <c r="I36" s="3"/>
      <c r="J36" s="3"/>
    </row>
    <row r="37" spans="1:10" x14ac:dyDescent="0.3">
      <c r="A37" s="37" cm="1">
        <f t="array" aca="1" ref="A37" ca="1">INDIRECT(ADDRESS(ROW()-1,COLUMN()))+1</f>
        <v>15</v>
      </c>
      <c r="B37" s="3" t="s">
        <v>621</v>
      </c>
      <c r="C37" s="10" t="s">
        <v>82</v>
      </c>
      <c r="D37" s="13" t="s">
        <v>82</v>
      </c>
      <c r="E37" s="19" t="s">
        <v>167</v>
      </c>
      <c r="F37" s="4" t="s">
        <v>17</v>
      </c>
      <c r="G37" s="13" t="s">
        <v>82</v>
      </c>
      <c r="H37" s="11" t="s">
        <v>634</v>
      </c>
      <c r="I37" s="4"/>
      <c r="J37" s="4"/>
    </row>
    <row r="38" spans="1:10" x14ac:dyDescent="0.3">
      <c r="A38" s="37" cm="1">
        <f t="array" aca="1" ref="A38" ca="1">INDIRECT(ADDRESS(ROW()-1,COLUMN()))+1</f>
        <v>16</v>
      </c>
      <c r="B38" s="3" t="s">
        <v>621</v>
      </c>
      <c r="C38" s="10" t="s">
        <v>82</v>
      </c>
      <c r="D38" s="10" t="s">
        <v>82</v>
      </c>
      <c r="E38" s="3" t="s">
        <v>100</v>
      </c>
      <c r="F38" s="3" t="s">
        <v>101</v>
      </c>
      <c r="G38" s="10" t="s">
        <v>82</v>
      </c>
      <c r="H38" s="3"/>
      <c r="I38" s="3"/>
      <c r="J38" s="3"/>
    </row>
    <row r="39" spans="1:10" x14ac:dyDescent="0.3">
      <c r="A39" s="37" cm="1">
        <f t="array" aca="1" ref="A39" ca="1">INDIRECT(ADDRESS(ROW()-1,COLUMN()))+1</f>
        <v>17</v>
      </c>
      <c r="B39" s="3" t="s">
        <v>621</v>
      </c>
      <c r="C39" s="10" t="s">
        <v>82</v>
      </c>
      <c r="D39" s="13" t="s">
        <v>82</v>
      </c>
      <c r="E39" s="45" t="s">
        <v>183</v>
      </c>
      <c r="F39" s="3" t="s">
        <v>101</v>
      </c>
      <c r="G39" s="47" t="s">
        <v>82</v>
      </c>
      <c r="H39" s="4"/>
      <c r="I39" s="4"/>
      <c r="J39" s="4"/>
    </row>
    <row r="40" spans="1:10" x14ac:dyDescent="0.3">
      <c r="A40" s="37" cm="1">
        <f t="array" aca="1" ref="A40" ca="1">INDIRECT(ADDRESS(ROW()-1,COLUMN()))+1</f>
        <v>18</v>
      </c>
      <c r="B40" s="3" t="s">
        <v>621</v>
      </c>
      <c r="C40" s="10" t="s">
        <v>82</v>
      </c>
      <c r="D40" s="13" t="s">
        <v>82</v>
      </c>
      <c r="E40" s="4" t="s">
        <v>180</v>
      </c>
      <c r="F40" s="4" t="s">
        <v>17</v>
      </c>
      <c r="G40" s="13" t="s">
        <v>85</v>
      </c>
      <c r="H40" s="11" t="s">
        <v>635</v>
      </c>
      <c r="I40" s="4"/>
      <c r="J40" s="4"/>
    </row>
    <row r="41" spans="1:10" x14ac:dyDescent="0.3">
      <c r="A41" s="37" cm="1">
        <f t="array" aca="1" ref="A41" ca="1">INDIRECT(ADDRESS(ROW()-1,COLUMN()))+1</f>
        <v>19</v>
      </c>
      <c r="B41" s="3" t="s">
        <v>621</v>
      </c>
      <c r="C41" s="10" t="s">
        <v>82</v>
      </c>
      <c r="D41" s="13" t="s">
        <v>82</v>
      </c>
      <c r="E41" s="46" t="s">
        <v>636</v>
      </c>
      <c r="F41" s="3" t="s">
        <v>101</v>
      </c>
      <c r="H41" s="4"/>
      <c r="I41" s="4"/>
      <c r="J41" s="4"/>
    </row>
    <row r="42" spans="1:10" ht="43.2" x14ac:dyDescent="0.3">
      <c r="A42" s="37" cm="1">
        <f t="array" aca="1" ref="A42" ca="1">INDIRECT(ADDRESS(ROW()-1,COLUMN()))+1</f>
        <v>20</v>
      </c>
      <c r="B42" s="14"/>
      <c r="C42" s="13" t="s">
        <v>82</v>
      </c>
      <c r="D42" s="13" t="s">
        <v>85</v>
      </c>
      <c r="E42" s="4" t="s">
        <v>637</v>
      </c>
      <c r="F42" s="4" t="s">
        <v>101</v>
      </c>
      <c r="G42" s="13" t="s">
        <v>85</v>
      </c>
      <c r="H42" s="4" t="s">
        <v>564</v>
      </c>
      <c r="I42" s="10" t="s">
        <v>82</v>
      </c>
      <c r="J42" s="4"/>
    </row>
    <row r="43" spans="1:10" x14ac:dyDescent="0.3">
      <c r="A43" s="78"/>
    </row>
  </sheetData>
  <mergeCells count="8">
    <mergeCell ref="A1:N1"/>
    <mergeCell ref="A2:N2"/>
    <mergeCell ref="A20:N20"/>
    <mergeCell ref="A21:N21"/>
    <mergeCell ref="H8:H9"/>
    <mergeCell ref="H12:H13"/>
    <mergeCell ref="H14:H15"/>
    <mergeCell ref="H16:H17"/>
  </mergeCells>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589646-0AA5-41D4-8F03-FC42B9D19894}">
  <dimension ref="A1:R51"/>
  <sheetViews>
    <sheetView topLeftCell="A25" zoomScale="70" zoomScaleNormal="70" workbookViewId="0">
      <selection activeCell="D23" sqref="D23"/>
    </sheetView>
  </sheetViews>
  <sheetFormatPr defaultColWidth="9.109375" defaultRowHeight="14.4" x14ac:dyDescent="0.3"/>
  <cols>
    <col min="1" max="1" width="9.109375" style="16"/>
    <col min="2" max="2" width="25" style="16" customWidth="1"/>
    <col min="3" max="4" width="9.109375" style="16"/>
    <col min="5" max="6" width="29.6640625" style="16" bestFit="1" customWidth="1"/>
    <col min="7" max="7" width="9.109375" style="16"/>
    <col min="8" max="8" width="64.109375" style="16" bestFit="1" customWidth="1"/>
    <col min="9" max="9" width="19.33203125" style="16" customWidth="1"/>
    <col min="10" max="10" width="10" style="16" bestFit="1" customWidth="1"/>
    <col min="11" max="11" width="9.33203125" style="16" customWidth="1"/>
    <col min="12" max="12" width="10.5546875" style="16" customWidth="1"/>
    <col min="13" max="13" width="18.6640625" style="16" bestFit="1" customWidth="1"/>
    <col min="14" max="14" width="14.5546875" style="16" bestFit="1" customWidth="1"/>
    <col min="15" max="15" width="9.109375" style="16"/>
    <col min="16" max="16" width="24.5546875" style="16" customWidth="1"/>
    <col min="17" max="17" width="9.109375" style="16"/>
    <col min="18" max="18" width="41.88671875" style="16" customWidth="1"/>
    <col min="19" max="16384" width="9.109375" style="16"/>
  </cols>
  <sheetData>
    <row r="1" spans="1:18" ht="28.8" x14ac:dyDescent="0.55000000000000004">
      <c r="A1" s="218" t="s">
        <v>638</v>
      </c>
      <c r="B1" s="218"/>
      <c r="C1" s="218"/>
      <c r="D1" s="218"/>
      <c r="E1" s="218"/>
      <c r="F1" s="218"/>
      <c r="G1" s="218"/>
      <c r="H1" s="218"/>
    </row>
    <row r="2" spans="1:18" ht="100.8" x14ac:dyDescent="0.3">
      <c r="A2" s="5" t="s">
        <v>60</v>
      </c>
      <c r="B2" s="5" t="s">
        <v>61</v>
      </c>
      <c r="C2" s="5" t="s">
        <v>62</v>
      </c>
      <c r="D2" s="5" t="s">
        <v>63</v>
      </c>
      <c r="E2" s="5" t="s">
        <v>65</v>
      </c>
      <c r="F2" s="5" t="s">
        <v>66</v>
      </c>
      <c r="G2" s="53" t="s">
        <v>478</v>
      </c>
      <c r="H2" s="5" t="s">
        <v>68</v>
      </c>
      <c r="I2" s="5" t="s">
        <v>639</v>
      </c>
    </row>
    <row r="3" spans="1:18" ht="144" x14ac:dyDescent="0.3">
      <c r="A3" s="37">
        <v>1</v>
      </c>
      <c r="B3" s="4"/>
      <c r="C3" s="4"/>
      <c r="D3" s="4"/>
      <c r="E3" s="61" t="s">
        <v>640</v>
      </c>
      <c r="F3" s="4" t="s">
        <v>125</v>
      </c>
      <c r="G3" s="50" t="s">
        <v>85</v>
      </c>
      <c r="H3" s="4" t="s">
        <v>641</v>
      </c>
      <c r="I3" s="4" t="s">
        <v>642</v>
      </c>
    </row>
    <row r="4" spans="1:18" ht="28.8" x14ac:dyDescent="0.3">
      <c r="A4" s="37" cm="1">
        <f t="array" aca="1" ref="A4" ca="1">INDIRECT(ADDRESS(ROW()-1,COLUMN()))+1</f>
        <v>2</v>
      </c>
      <c r="B4" s="4"/>
      <c r="C4" s="4"/>
      <c r="D4" s="4"/>
      <c r="E4" s="16" t="s">
        <v>284</v>
      </c>
      <c r="F4" s="16" t="s">
        <v>125</v>
      </c>
      <c r="G4" s="57" t="s">
        <v>85</v>
      </c>
      <c r="H4" s="4"/>
      <c r="I4" s="4" t="s">
        <v>643</v>
      </c>
    </row>
    <row r="5" spans="1:18" s="35" customFormat="1" ht="86.4" x14ac:dyDescent="0.3">
      <c r="A5" s="37" cm="1">
        <f t="array" aca="1" ref="A5" ca="1">INDIRECT(ADDRESS(ROW()-1,COLUMN()))+1</f>
        <v>3</v>
      </c>
      <c r="B5" s="32"/>
      <c r="C5" s="32" t="s">
        <v>85</v>
      </c>
      <c r="D5" s="32"/>
      <c r="E5" s="32" t="s">
        <v>644</v>
      </c>
      <c r="F5" s="32" t="s">
        <v>125</v>
      </c>
      <c r="G5" s="13" t="s">
        <v>85</v>
      </c>
      <c r="I5" s="32" t="s">
        <v>645</v>
      </c>
    </row>
    <row r="6" spans="1:18" ht="28.8" x14ac:dyDescent="0.3">
      <c r="A6" s="37" cm="1">
        <f t="array" aca="1" ref="A6" ca="1">INDIRECT(ADDRESS(ROW()-1,COLUMN()))+1</f>
        <v>4</v>
      </c>
      <c r="B6" s="14"/>
      <c r="C6" s="13"/>
      <c r="D6" s="13"/>
      <c r="E6" s="27" t="s">
        <v>646</v>
      </c>
      <c r="F6" s="11" t="s">
        <v>125</v>
      </c>
      <c r="G6" s="13" t="s">
        <v>85</v>
      </c>
      <c r="H6" s="15"/>
      <c r="I6" s="4" t="s">
        <v>643</v>
      </c>
    </row>
    <row r="7" spans="1:18" ht="28.8" x14ac:dyDescent="0.3">
      <c r="A7" s="37" cm="1">
        <f t="array" aca="1" ref="A7" ca="1">INDIRECT(ADDRESS(ROW()-1,COLUMN()))+1</f>
        <v>5</v>
      </c>
      <c r="B7" s="14"/>
      <c r="C7" s="13"/>
      <c r="D7" s="13"/>
      <c r="E7" s="27" t="s">
        <v>647</v>
      </c>
      <c r="F7" s="11" t="s">
        <v>125</v>
      </c>
      <c r="G7" s="13" t="s">
        <v>85</v>
      </c>
      <c r="H7" s="15"/>
      <c r="I7" s="4" t="s">
        <v>643</v>
      </c>
    </row>
    <row r="8" spans="1:18" s="35" customFormat="1" ht="28.8" x14ac:dyDescent="0.3">
      <c r="A8" s="37" cm="1">
        <f t="array" aca="1" ref="A8" ca="1">INDIRECT(ADDRESS(ROW()-1,COLUMN()))+1</f>
        <v>6</v>
      </c>
      <c r="B8" s="32"/>
      <c r="C8" s="32"/>
      <c r="D8" s="32"/>
      <c r="E8" s="32" t="s">
        <v>124</v>
      </c>
      <c r="F8" s="32" t="s">
        <v>125</v>
      </c>
      <c r="G8" s="13" t="s">
        <v>85</v>
      </c>
      <c r="H8" s="32"/>
      <c r="I8" s="4" t="s">
        <v>643</v>
      </c>
    </row>
    <row r="9" spans="1:18" s="35" customFormat="1" ht="28.8" x14ac:dyDescent="0.3">
      <c r="A9" s="37" cm="1">
        <f t="array" aca="1" ref="A9" ca="1">INDIRECT(ADDRESS(ROW()-1,COLUMN()))+1</f>
        <v>7</v>
      </c>
      <c r="B9" s="32"/>
      <c r="C9" s="32"/>
      <c r="D9" s="32"/>
      <c r="E9" s="32" t="s">
        <v>127</v>
      </c>
      <c r="F9" s="32" t="s">
        <v>125</v>
      </c>
      <c r="G9" s="13" t="s">
        <v>85</v>
      </c>
      <c r="H9" s="32"/>
      <c r="I9" s="4" t="s">
        <v>643</v>
      </c>
    </row>
    <row r="10" spans="1:18" ht="28.8" x14ac:dyDescent="0.55000000000000004">
      <c r="A10" s="218" t="s">
        <v>648</v>
      </c>
      <c r="B10" s="218"/>
      <c r="C10" s="218"/>
      <c r="D10" s="218"/>
      <c r="E10" s="218"/>
      <c r="F10" s="218"/>
      <c r="G10" s="218"/>
      <c r="H10" s="218"/>
      <c r="I10" s="218"/>
      <c r="J10" s="218"/>
      <c r="K10" s="218"/>
      <c r="L10" s="218"/>
      <c r="M10" s="218"/>
      <c r="N10" s="218"/>
    </row>
    <row r="11" spans="1:18" ht="18" x14ac:dyDescent="0.35">
      <c r="A11" s="219" t="s">
        <v>558</v>
      </c>
      <c r="B11" s="219"/>
      <c r="C11" s="219"/>
      <c r="D11" s="219"/>
      <c r="E11" s="219"/>
      <c r="F11" s="219"/>
      <c r="G11" s="219"/>
      <c r="H11" s="219"/>
      <c r="I11" s="219"/>
      <c r="J11" s="219"/>
      <c r="K11" s="219"/>
      <c r="L11" s="219"/>
      <c r="M11" s="219"/>
      <c r="N11" s="219"/>
    </row>
    <row r="12" spans="1:18" ht="100.8" x14ac:dyDescent="0.3">
      <c r="A12" s="5" t="s">
        <v>60</v>
      </c>
      <c r="B12" s="5" t="s">
        <v>61</v>
      </c>
      <c r="C12" s="5" t="s">
        <v>62</v>
      </c>
      <c r="D12" s="5" t="s">
        <v>63</v>
      </c>
      <c r="E12" s="5" t="s">
        <v>649</v>
      </c>
      <c r="F12" s="5" t="s">
        <v>65</v>
      </c>
      <c r="G12" s="5" t="s">
        <v>66</v>
      </c>
      <c r="H12" s="5" t="s">
        <v>68</v>
      </c>
      <c r="I12" s="5" t="s">
        <v>478</v>
      </c>
      <c r="J12" s="5" t="s">
        <v>70</v>
      </c>
      <c r="K12" s="5" t="s">
        <v>479</v>
      </c>
      <c r="L12" s="5" t="s">
        <v>72</v>
      </c>
      <c r="M12" s="5" t="s">
        <v>73</v>
      </c>
      <c r="N12" s="5" t="s">
        <v>74</v>
      </c>
      <c r="O12" s="7" t="s">
        <v>480</v>
      </c>
      <c r="P12" s="7" t="s">
        <v>481</v>
      </c>
      <c r="Q12" s="7" t="s">
        <v>650</v>
      </c>
      <c r="R12" s="7" t="s">
        <v>639</v>
      </c>
    </row>
    <row r="13" spans="1:18" ht="28.8" x14ac:dyDescent="0.3">
      <c r="A13" s="62">
        <v>1</v>
      </c>
      <c r="B13" s="4"/>
      <c r="C13" s="4"/>
      <c r="D13" s="4"/>
      <c r="E13" s="4"/>
      <c r="F13" s="4" t="s">
        <v>284</v>
      </c>
      <c r="G13" s="4" t="s">
        <v>125</v>
      </c>
      <c r="H13" s="4"/>
      <c r="I13" s="13" t="s">
        <v>85</v>
      </c>
      <c r="J13" s="4"/>
      <c r="K13" s="4"/>
      <c r="L13" s="4"/>
      <c r="M13" s="4"/>
      <c r="N13" s="4"/>
      <c r="O13" s="4"/>
      <c r="P13" s="4" t="s">
        <v>82</v>
      </c>
      <c r="Q13" s="63"/>
      <c r="R13" s="4" t="s">
        <v>651</v>
      </c>
    </row>
    <row r="14" spans="1:18" ht="43.2" x14ac:dyDescent="0.3">
      <c r="A14" s="37" cm="1">
        <f t="array" aca="1" ref="A14" ca="1">INDIRECT(ADDRESS(ROW()-1,COLUMN()))+1</f>
        <v>2</v>
      </c>
      <c r="B14" s="14"/>
      <c r="C14" s="13"/>
      <c r="D14" s="13"/>
      <c r="E14" s="13"/>
      <c r="F14" s="27" t="s">
        <v>644</v>
      </c>
      <c r="G14" s="11" t="s">
        <v>125</v>
      </c>
      <c r="H14" s="13" t="s">
        <v>85</v>
      </c>
      <c r="I14" s="11"/>
      <c r="J14" s="11"/>
      <c r="K14" s="11"/>
      <c r="L14" s="11"/>
      <c r="M14" s="11"/>
      <c r="N14" s="11"/>
      <c r="O14" s="4"/>
      <c r="P14" s="13" t="s">
        <v>82</v>
      </c>
      <c r="Q14" s="4"/>
      <c r="R14" s="32" t="s">
        <v>645</v>
      </c>
    </row>
    <row r="15" spans="1:18" ht="144" x14ac:dyDescent="0.3">
      <c r="A15" s="37" cm="1">
        <f t="array" aca="1" ref="A15" ca="1">INDIRECT(ADDRESS(ROW()-1,COLUMN()))+1</f>
        <v>3</v>
      </c>
      <c r="B15" s="4"/>
      <c r="C15" s="4"/>
      <c r="D15" s="4"/>
      <c r="E15" s="4"/>
      <c r="F15" s="4" t="s">
        <v>640</v>
      </c>
      <c r="G15" s="4" t="s">
        <v>125</v>
      </c>
      <c r="H15" s="4" t="s">
        <v>641</v>
      </c>
      <c r="I15" s="13" t="s">
        <v>85</v>
      </c>
      <c r="J15" s="4"/>
      <c r="K15" s="4"/>
      <c r="L15" s="4"/>
      <c r="M15" s="4"/>
      <c r="N15" s="4"/>
      <c r="O15" s="4"/>
      <c r="P15" s="4" t="s">
        <v>82</v>
      </c>
      <c r="Q15" s="63"/>
      <c r="R15" s="4" t="s">
        <v>642</v>
      </c>
    </row>
    <row r="16" spans="1:18" x14ac:dyDescent="0.3">
      <c r="A16" s="37" cm="1">
        <f t="array" aca="1" ref="A16" ca="1">INDIRECT(ADDRESS(ROW()-1,COLUMN()))+1</f>
        <v>4</v>
      </c>
      <c r="B16" s="14" t="s">
        <v>652</v>
      </c>
      <c r="C16" s="14"/>
      <c r="D16" s="14"/>
      <c r="E16" s="49" t="s">
        <v>404</v>
      </c>
      <c r="F16" s="4"/>
      <c r="G16" s="13" t="s">
        <v>85</v>
      </c>
      <c r="H16" s="4"/>
      <c r="I16" s="4"/>
      <c r="J16" s="4"/>
      <c r="K16" s="4"/>
      <c r="L16" s="4"/>
      <c r="M16" s="4"/>
      <c r="N16" s="4"/>
      <c r="O16" s="13" t="s">
        <v>82</v>
      </c>
      <c r="P16" s="4"/>
      <c r="Q16" s="4"/>
      <c r="R16" s="164" t="s">
        <v>653</v>
      </c>
    </row>
    <row r="17" spans="1:18" x14ac:dyDescent="0.3">
      <c r="A17" s="37" cm="1">
        <f t="array" aca="1" ref="A17" ca="1">INDIRECT(ADDRESS(ROW()-1,COLUMN()))+1</f>
        <v>5</v>
      </c>
      <c r="B17" s="14" t="s">
        <v>652</v>
      </c>
      <c r="C17" s="14"/>
      <c r="D17" s="14"/>
      <c r="E17" s="49" t="s">
        <v>654</v>
      </c>
      <c r="F17" s="4"/>
      <c r="G17" s="13" t="s">
        <v>85</v>
      </c>
      <c r="H17" s="4"/>
      <c r="I17" s="4"/>
      <c r="J17" s="4"/>
      <c r="K17" s="4"/>
      <c r="L17" s="4"/>
      <c r="M17" s="4"/>
      <c r="N17" s="4"/>
      <c r="O17" s="13" t="s">
        <v>82</v>
      </c>
      <c r="P17" s="4"/>
      <c r="Q17" s="4"/>
      <c r="R17" s="164"/>
    </row>
    <row r="18" spans="1:18" x14ac:dyDescent="0.3">
      <c r="A18" s="37" cm="1">
        <f t="array" aca="1" ref="A18" ca="1">INDIRECT(ADDRESS(ROW()-1,COLUMN()))+1</f>
        <v>6</v>
      </c>
      <c r="B18" s="14" t="s">
        <v>652</v>
      </c>
      <c r="C18" s="14"/>
      <c r="D18" s="14"/>
      <c r="E18" s="49" t="s">
        <v>655</v>
      </c>
      <c r="F18" s="4"/>
      <c r="G18" s="13" t="s">
        <v>85</v>
      </c>
      <c r="H18" s="4"/>
      <c r="I18" s="4"/>
      <c r="J18" s="4"/>
      <c r="K18" s="4"/>
      <c r="L18" s="4"/>
      <c r="M18" s="4"/>
      <c r="N18" s="4"/>
      <c r="O18" s="13" t="s">
        <v>82</v>
      </c>
      <c r="P18" s="4"/>
      <c r="Q18" s="4"/>
      <c r="R18" s="164"/>
    </row>
    <row r="19" spans="1:18" x14ac:dyDescent="0.3">
      <c r="A19" s="37" cm="1">
        <f t="array" aca="1" ref="A19" ca="1">INDIRECT(ADDRESS(ROW()-1,COLUMN()))+1</f>
        <v>7</v>
      </c>
      <c r="B19" s="14" t="s">
        <v>652</v>
      </c>
      <c r="C19" s="14"/>
      <c r="D19" s="14"/>
      <c r="E19" s="49" t="s">
        <v>656</v>
      </c>
      <c r="F19" s="4"/>
      <c r="G19" s="13" t="s">
        <v>85</v>
      </c>
      <c r="H19" s="4"/>
      <c r="I19" s="4"/>
      <c r="J19" s="4"/>
      <c r="K19" s="4"/>
      <c r="L19" s="4"/>
      <c r="M19" s="4"/>
      <c r="N19" s="4"/>
      <c r="O19" s="13" t="s">
        <v>82</v>
      </c>
      <c r="P19" s="4"/>
      <c r="Q19" s="4"/>
      <c r="R19" s="164"/>
    </row>
    <row r="20" spans="1:18" ht="28.8" x14ac:dyDescent="0.3">
      <c r="A20" s="37" cm="1">
        <f t="array" aca="1" ref="A20" ca="1">INDIRECT(ADDRESS(ROW()-1,COLUMN()))+1</f>
        <v>8</v>
      </c>
      <c r="B20" s="14" t="s">
        <v>652</v>
      </c>
      <c r="C20" s="14"/>
      <c r="D20" s="14"/>
      <c r="E20" s="49" t="s">
        <v>657</v>
      </c>
      <c r="F20" s="4"/>
      <c r="G20" s="13" t="s">
        <v>85</v>
      </c>
      <c r="H20" s="18" t="s">
        <v>658</v>
      </c>
      <c r="I20" s="18"/>
      <c r="J20" s="4"/>
      <c r="K20" s="9" t="s">
        <v>82</v>
      </c>
      <c r="L20" s="4"/>
      <c r="M20" s="4" t="s">
        <v>659</v>
      </c>
      <c r="N20" s="4"/>
      <c r="O20" s="13" t="s">
        <v>82</v>
      </c>
      <c r="P20" s="4"/>
      <c r="Q20" s="4"/>
      <c r="R20" s="164"/>
    </row>
    <row r="21" spans="1:18" x14ac:dyDescent="0.3">
      <c r="A21" s="37" cm="1">
        <f t="array" aca="1" ref="A21" ca="1">INDIRECT(ADDRESS(ROW()-1,COLUMN()))+1</f>
        <v>9</v>
      </c>
      <c r="B21" s="14" t="s">
        <v>660</v>
      </c>
      <c r="C21" s="14"/>
      <c r="D21" s="14"/>
      <c r="E21" s="49" t="s">
        <v>661</v>
      </c>
      <c r="F21" s="4" t="s">
        <v>101</v>
      </c>
      <c r="G21" s="13" t="s">
        <v>85</v>
      </c>
      <c r="H21" s="4"/>
      <c r="I21" s="4"/>
      <c r="J21" s="4"/>
      <c r="K21" s="4"/>
      <c r="L21" s="4"/>
      <c r="M21" s="4"/>
      <c r="N21" s="4"/>
      <c r="O21" s="13" t="s">
        <v>82</v>
      </c>
      <c r="P21" s="4"/>
      <c r="Q21" s="4"/>
      <c r="R21" s="223" t="s">
        <v>642</v>
      </c>
    </row>
    <row r="22" spans="1:18" ht="115.2" x14ac:dyDescent="0.3">
      <c r="A22" s="37" cm="1">
        <f t="array" aca="1" ref="A22" ca="1">INDIRECT(ADDRESS(ROW()-1,COLUMN()))+1</f>
        <v>10</v>
      </c>
      <c r="B22" s="14" t="s">
        <v>660</v>
      </c>
      <c r="C22" s="14"/>
      <c r="D22" s="14"/>
      <c r="E22" s="49" t="s">
        <v>662</v>
      </c>
      <c r="F22" s="4" t="s">
        <v>101</v>
      </c>
      <c r="G22" s="13" t="s">
        <v>85</v>
      </c>
      <c r="H22" s="4" t="s">
        <v>663</v>
      </c>
      <c r="I22" s="4"/>
      <c r="J22" s="4"/>
      <c r="K22" s="4"/>
      <c r="L22" s="4"/>
      <c r="M22" s="4"/>
      <c r="N22" s="4"/>
      <c r="O22" s="13" t="s">
        <v>82</v>
      </c>
      <c r="P22" s="4"/>
      <c r="Q22" s="4"/>
      <c r="R22" s="224"/>
    </row>
    <row r="23" spans="1:18" ht="115.2" x14ac:dyDescent="0.3">
      <c r="A23" s="37" cm="1">
        <f t="array" aca="1" ref="A23" ca="1">INDIRECT(ADDRESS(ROW()-1,COLUMN()))+1</f>
        <v>11</v>
      </c>
      <c r="B23" s="4"/>
      <c r="C23" s="4"/>
      <c r="D23" s="4"/>
      <c r="E23" s="4"/>
      <c r="F23" s="4" t="s">
        <v>411</v>
      </c>
      <c r="G23" s="4" t="s">
        <v>101</v>
      </c>
      <c r="H23" s="4" t="s">
        <v>664</v>
      </c>
      <c r="J23" s="4"/>
      <c r="K23" s="4"/>
      <c r="L23" s="4"/>
      <c r="M23" s="4"/>
      <c r="N23" s="4"/>
      <c r="O23" s="4"/>
      <c r="P23" s="4" t="s">
        <v>82</v>
      </c>
      <c r="Q23" s="63"/>
      <c r="R23" s="4" t="s">
        <v>665</v>
      </c>
    </row>
    <row r="24" spans="1:18" ht="36" x14ac:dyDescent="0.3">
      <c r="A24" s="37" cm="1">
        <f t="array" aca="1" ref="A24" ca="1">INDIRECT(ADDRESS(ROW()-1,COLUMN()))+1</f>
        <v>12</v>
      </c>
      <c r="B24" s="14"/>
      <c r="C24" s="13"/>
      <c r="D24" s="13"/>
      <c r="E24" s="27" t="s">
        <v>646</v>
      </c>
      <c r="F24" s="11" t="s">
        <v>125</v>
      </c>
      <c r="G24" s="13" t="s">
        <v>85</v>
      </c>
      <c r="H24" s="15" t="s">
        <v>666</v>
      </c>
      <c r="I24" s="15"/>
      <c r="J24" s="11"/>
      <c r="K24" s="11"/>
      <c r="L24" s="11"/>
      <c r="M24" s="11"/>
      <c r="N24" s="4"/>
      <c r="O24" s="50" t="s">
        <v>82</v>
      </c>
      <c r="P24" s="4"/>
      <c r="R24" s="4" t="s">
        <v>643</v>
      </c>
    </row>
    <row r="25" spans="1:18" ht="36" x14ac:dyDescent="0.3">
      <c r="A25" s="37" cm="1">
        <f t="array" aca="1" ref="A25" ca="1">INDIRECT(ADDRESS(ROW()-1,COLUMN()))+1</f>
        <v>13</v>
      </c>
      <c r="B25" s="14"/>
      <c r="C25" s="13"/>
      <c r="D25" s="13"/>
      <c r="E25" s="27" t="s">
        <v>647</v>
      </c>
      <c r="F25" s="11" t="s">
        <v>125</v>
      </c>
      <c r="G25" s="13" t="s">
        <v>85</v>
      </c>
      <c r="H25" s="15" t="s">
        <v>667</v>
      </c>
      <c r="I25" s="15"/>
      <c r="J25" s="11"/>
      <c r="K25" s="11"/>
      <c r="L25" s="11"/>
      <c r="M25" s="11"/>
      <c r="N25" s="4"/>
      <c r="O25" s="50" t="s">
        <v>82</v>
      </c>
      <c r="P25" s="4"/>
      <c r="R25" s="4" t="s">
        <v>643</v>
      </c>
    </row>
    <row r="26" spans="1:18" ht="24" x14ac:dyDescent="0.3">
      <c r="A26" s="37" cm="1">
        <f t="array" aca="1" ref="A26" ca="1">INDIRECT(ADDRESS(ROW()-1,COLUMN()))+1</f>
        <v>14</v>
      </c>
      <c r="B26" s="14"/>
      <c r="C26" s="13"/>
      <c r="D26" s="13"/>
      <c r="E26" s="27" t="s">
        <v>124</v>
      </c>
      <c r="F26" s="11" t="s">
        <v>125</v>
      </c>
      <c r="G26" s="13" t="s">
        <v>85</v>
      </c>
      <c r="H26" s="15" t="s">
        <v>668</v>
      </c>
      <c r="I26" s="15"/>
      <c r="J26" s="11"/>
      <c r="K26" s="11"/>
      <c r="L26" s="11"/>
      <c r="M26" s="11"/>
      <c r="N26" s="4"/>
      <c r="O26" s="50" t="s">
        <v>82</v>
      </c>
      <c r="P26" s="4"/>
      <c r="R26" s="4" t="s">
        <v>643</v>
      </c>
    </row>
    <row r="27" spans="1:18" ht="24" x14ac:dyDescent="0.3">
      <c r="A27" s="37" cm="1">
        <f t="array" aca="1" ref="A27" ca="1">INDIRECT(ADDRESS(ROW()-1,COLUMN()))+1</f>
        <v>15</v>
      </c>
      <c r="B27" s="14"/>
      <c r="C27" s="13"/>
      <c r="D27" s="13"/>
      <c r="E27" s="27" t="s">
        <v>127</v>
      </c>
      <c r="F27" s="11" t="s">
        <v>125</v>
      </c>
      <c r="G27" s="13" t="s">
        <v>85</v>
      </c>
      <c r="H27" s="15" t="s">
        <v>669</v>
      </c>
      <c r="I27" s="15"/>
      <c r="J27" s="11"/>
      <c r="K27" s="11"/>
      <c r="L27" s="11"/>
      <c r="M27" s="11"/>
      <c r="N27" s="4"/>
      <c r="O27" s="50" t="s">
        <v>82</v>
      </c>
      <c r="P27" s="4"/>
      <c r="R27" s="4" t="s">
        <v>643</v>
      </c>
    </row>
    <row r="28" spans="1:18" ht="28.8" x14ac:dyDescent="0.55000000000000004">
      <c r="A28" s="218" t="s">
        <v>670</v>
      </c>
      <c r="B28" s="218"/>
      <c r="C28" s="218"/>
      <c r="D28" s="218"/>
      <c r="E28" s="218"/>
      <c r="F28" s="218"/>
      <c r="G28" s="218"/>
      <c r="H28" s="218"/>
      <c r="I28" s="218"/>
      <c r="J28" s="218"/>
      <c r="K28" s="218"/>
      <c r="L28" s="218"/>
      <c r="M28" s="218"/>
      <c r="N28" s="218"/>
    </row>
    <row r="29" spans="1:18" ht="18" x14ac:dyDescent="0.35">
      <c r="A29" s="219" t="s">
        <v>558</v>
      </c>
      <c r="B29" s="219"/>
      <c r="C29" s="219"/>
      <c r="D29" s="219"/>
      <c r="E29" s="219"/>
      <c r="F29" s="219"/>
      <c r="G29" s="219"/>
      <c r="H29" s="219"/>
      <c r="I29" s="219"/>
      <c r="J29" s="219"/>
      <c r="K29" s="219"/>
      <c r="L29" s="219"/>
      <c r="M29" s="219"/>
      <c r="N29" s="219"/>
    </row>
    <row r="30" spans="1:18" ht="100.8" x14ac:dyDescent="0.3">
      <c r="A30" s="5" t="s">
        <v>60</v>
      </c>
      <c r="B30" s="5" t="s">
        <v>61</v>
      </c>
      <c r="C30" s="5" t="s">
        <v>62</v>
      </c>
      <c r="D30" s="5" t="s">
        <v>63</v>
      </c>
      <c r="E30" s="5" t="s">
        <v>649</v>
      </c>
      <c r="F30" s="5" t="s">
        <v>65</v>
      </c>
      <c r="G30" s="5" t="s">
        <v>66</v>
      </c>
      <c r="H30" s="5" t="s">
        <v>68</v>
      </c>
      <c r="I30" s="5" t="s">
        <v>478</v>
      </c>
      <c r="J30" s="5" t="s">
        <v>70</v>
      </c>
      <c r="K30" s="5" t="s">
        <v>479</v>
      </c>
      <c r="L30" s="5" t="s">
        <v>72</v>
      </c>
      <c r="M30" s="5" t="s">
        <v>73</v>
      </c>
      <c r="N30" s="5" t="s">
        <v>74</v>
      </c>
      <c r="O30" s="7"/>
      <c r="P30" s="54" t="s">
        <v>639</v>
      </c>
    </row>
    <row r="31" spans="1:18" ht="144" x14ac:dyDescent="0.3">
      <c r="A31" s="62">
        <v>1</v>
      </c>
      <c r="B31" s="4"/>
      <c r="C31" s="4"/>
      <c r="D31" s="4"/>
      <c r="E31" s="4"/>
      <c r="F31" s="4" t="s">
        <v>640</v>
      </c>
      <c r="G31" s="4" t="s">
        <v>125</v>
      </c>
      <c r="H31" s="4" t="s">
        <v>671</v>
      </c>
      <c r="I31" s="4" t="s">
        <v>82</v>
      </c>
      <c r="J31" s="4"/>
      <c r="K31" s="4"/>
      <c r="L31" s="4"/>
      <c r="M31" s="4"/>
      <c r="N31" s="4"/>
      <c r="O31" s="4"/>
      <c r="P31" s="4" t="s">
        <v>642</v>
      </c>
    </row>
    <row r="32" spans="1:18" s="35" customFormat="1" ht="28.8" x14ac:dyDescent="0.3">
      <c r="A32" s="37" cm="1">
        <f t="array" aca="1" ref="A32" ca="1">INDIRECT(ADDRESS(ROW()-1,COLUMN()))+1</f>
        <v>2</v>
      </c>
      <c r="B32" s="32"/>
      <c r="C32" s="32"/>
      <c r="D32" s="32"/>
      <c r="F32" s="55" t="s">
        <v>283</v>
      </c>
      <c r="G32" s="32" t="s">
        <v>125</v>
      </c>
      <c r="I32" s="13" t="s">
        <v>85</v>
      </c>
      <c r="J32" s="13" t="s">
        <v>82</v>
      </c>
      <c r="K32" s="28"/>
      <c r="L32" s="28"/>
      <c r="M32" s="28"/>
      <c r="N32" s="28"/>
      <c r="O32" s="13" t="s">
        <v>82</v>
      </c>
      <c r="P32" s="35" t="s">
        <v>672</v>
      </c>
    </row>
    <row r="33" spans="1:16" ht="43.2" x14ac:dyDescent="0.3">
      <c r="A33" s="37" cm="1">
        <f t="array" aca="1" ref="A33" ca="1">INDIRECT(ADDRESS(ROW()-1,COLUMN()))+1</f>
        <v>3</v>
      </c>
      <c r="B33" s="4"/>
      <c r="C33" s="4"/>
      <c r="D33" s="4"/>
      <c r="E33" s="4"/>
      <c r="F33" s="4" t="s">
        <v>284</v>
      </c>
      <c r="G33" s="4" t="s">
        <v>125</v>
      </c>
      <c r="H33" s="4"/>
      <c r="I33" s="13" t="s">
        <v>85</v>
      </c>
      <c r="J33" s="4"/>
      <c r="K33" s="4"/>
      <c r="L33" s="4"/>
      <c r="M33" s="4"/>
      <c r="N33" s="4"/>
      <c r="O33" s="4"/>
      <c r="P33" s="16" t="s">
        <v>651</v>
      </c>
    </row>
    <row r="34" spans="1:16" ht="72" x14ac:dyDescent="0.3">
      <c r="A34" s="37" cm="1">
        <f t="array" aca="1" ref="A34" ca="1">INDIRECT(ADDRESS(ROW()-1,COLUMN()))+1</f>
        <v>4</v>
      </c>
      <c r="B34" s="14"/>
      <c r="C34" s="13"/>
      <c r="D34" s="13"/>
      <c r="E34" s="13"/>
      <c r="F34" s="27" t="s">
        <v>644</v>
      </c>
      <c r="G34" s="11" t="s">
        <v>125</v>
      </c>
      <c r="H34" s="13" t="s">
        <v>85</v>
      </c>
      <c r="I34" s="11"/>
      <c r="J34" s="11"/>
      <c r="K34" s="11"/>
      <c r="L34" s="11"/>
      <c r="M34" s="11"/>
      <c r="N34" s="11"/>
      <c r="O34" s="4"/>
      <c r="P34" s="32" t="s">
        <v>645</v>
      </c>
    </row>
    <row r="35" spans="1:16" ht="144" x14ac:dyDescent="0.3">
      <c r="A35" s="37" cm="1">
        <f t="array" aca="1" ref="A35" ca="1">INDIRECT(ADDRESS(ROW()-1,COLUMN()))+1</f>
        <v>5</v>
      </c>
      <c r="B35" s="4"/>
      <c r="C35" s="4"/>
      <c r="D35" s="4"/>
      <c r="E35" s="4"/>
      <c r="F35" s="4" t="s">
        <v>640</v>
      </c>
      <c r="G35" s="4" t="s">
        <v>125</v>
      </c>
      <c r="H35" s="4" t="s">
        <v>641</v>
      </c>
      <c r="I35" s="13" t="s">
        <v>85</v>
      </c>
      <c r="J35" s="4"/>
      <c r="K35" s="4"/>
      <c r="L35" s="4"/>
      <c r="M35" s="4"/>
      <c r="N35" s="4"/>
      <c r="O35" s="4"/>
      <c r="P35" s="4" t="s">
        <v>642</v>
      </c>
    </row>
    <row r="36" spans="1:16" ht="43.2" x14ac:dyDescent="0.3">
      <c r="A36" s="37" cm="1">
        <f t="array" aca="1" ref="A36" ca="1">INDIRECT(ADDRESS(ROW()-1,COLUMN()))+1</f>
        <v>6</v>
      </c>
      <c r="B36" s="4"/>
      <c r="C36" s="4"/>
      <c r="D36" s="4"/>
      <c r="E36" s="4"/>
      <c r="F36" s="4" t="s">
        <v>284</v>
      </c>
      <c r="G36" s="4" t="s">
        <v>125</v>
      </c>
      <c r="H36" s="4"/>
      <c r="I36" s="4" t="s">
        <v>85</v>
      </c>
      <c r="J36" s="4"/>
      <c r="K36" s="4"/>
      <c r="L36" s="4"/>
      <c r="M36" s="4"/>
      <c r="N36" s="4"/>
      <c r="O36" s="4"/>
      <c r="P36" s="16" t="s">
        <v>651</v>
      </c>
    </row>
    <row r="37" spans="1:16" ht="273.60000000000002" x14ac:dyDescent="0.3">
      <c r="A37" s="37" cm="1">
        <f t="array" aca="1" ref="A37" ca="1">INDIRECT(ADDRESS(ROW()-1,COLUMN()))+1</f>
        <v>7</v>
      </c>
      <c r="B37" s="4"/>
      <c r="C37" s="4"/>
      <c r="D37" s="4"/>
      <c r="E37" s="4"/>
      <c r="F37" s="4" t="s">
        <v>411</v>
      </c>
      <c r="G37" s="4" t="s">
        <v>101</v>
      </c>
      <c r="H37" s="4" t="s">
        <v>673</v>
      </c>
      <c r="I37" s="4" t="s">
        <v>82</v>
      </c>
      <c r="J37" s="4"/>
      <c r="K37" s="4"/>
      <c r="L37" s="4"/>
      <c r="M37" s="4"/>
      <c r="N37" s="4"/>
      <c r="O37" s="4" t="s">
        <v>82</v>
      </c>
      <c r="P37" s="56" t="s">
        <v>665</v>
      </c>
    </row>
    <row r="38" spans="1:16" ht="36" x14ac:dyDescent="0.3">
      <c r="A38" s="37" cm="1">
        <f t="array" aca="1" ref="A38" ca="1">INDIRECT(ADDRESS(ROW()-1,COLUMN()))+1</f>
        <v>8</v>
      </c>
      <c r="B38" s="14"/>
      <c r="C38" s="13"/>
      <c r="D38" s="13"/>
      <c r="E38" s="4"/>
      <c r="F38" s="27" t="s">
        <v>646</v>
      </c>
      <c r="G38" s="11" t="s">
        <v>125</v>
      </c>
      <c r="H38" s="15" t="s">
        <v>666</v>
      </c>
      <c r="I38" s="13" t="s">
        <v>85</v>
      </c>
      <c r="J38" s="13" t="s">
        <v>85</v>
      </c>
      <c r="K38" s="4"/>
      <c r="L38" s="4"/>
      <c r="M38" s="27"/>
      <c r="N38" s="4"/>
      <c r="O38" s="13" t="s">
        <v>82</v>
      </c>
      <c r="P38" s="4" t="s">
        <v>643</v>
      </c>
    </row>
    <row r="39" spans="1:16" ht="36" x14ac:dyDescent="0.3">
      <c r="A39" s="37" cm="1">
        <f t="array" aca="1" ref="A39" ca="1">INDIRECT(ADDRESS(ROW()-1,COLUMN()))+1</f>
        <v>9</v>
      </c>
      <c r="B39" s="14"/>
      <c r="C39" s="13"/>
      <c r="D39" s="13"/>
      <c r="E39" s="4"/>
      <c r="F39" s="27" t="s">
        <v>647</v>
      </c>
      <c r="G39" s="11" t="s">
        <v>125</v>
      </c>
      <c r="H39" s="15" t="s">
        <v>667</v>
      </c>
      <c r="I39" s="13" t="s">
        <v>85</v>
      </c>
      <c r="J39" s="13" t="s">
        <v>85</v>
      </c>
      <c r="K39" s="4"/>
      <c r="L39" s="4"/>
      <c r="M39" s="27"/>
      <c r="N39" s="4"/>
      <c r="O39" s="13" t="s">
        <v>82</v>
      </c>
      <c r="P39" s="4" t="s">
        <v>643</v>
      </c>
    </row>
    <row r="40" spans="1:16" s="35" customFormat="1" ht="28.8" x14ac:dyDescent="0.3">
      <c r="A40" s="37" cm="1">
        <f t="array" aca="1" ref="A40" ca="1">INDIRECT(ADDRESS(ROW()-1,COLUMN()))+1</f>
        <v>10</v>
      </c>
      <c r="B40" s="32"/>
      <c r="C40" s="32"/>
      <c r="D40" s="32"/>
      <c r="E40" s="28"/>
      <c r="F40" s="32" t="s">
        <v>124</v>
      </c>
      <c r="G40" s="32" t="s">
        <v>125</v>
      </c>
      <c r="H40" s="32" t="s">
        <v>674</v>
      </c>
      <c r="I40" s="13" t="s">
        <v>85</v>
      </c>
      <c r="J40" s="13" t="s">
        <v>82</v>
      </c>
      <c r="K40" s="28"/>
      <c r="L40" s="28"/>
      <c r="M40" s="28"/>
      <c r="N40" s="28"/>
      <c r="O40" s="13" t="s">
        <v>82</v>
      </c>
      <c r="P40" s="4" t="s">
        <v>643</v>
      </c>
    </row>
    <row r="41" spans="1:16" s="35" customFormat="1" ht="28.8" x14ac:dyDescent="0.3">
      <c r="A41" s="37" cm="1">
        <f t="array" aca="1" ref="A41" ca="1">INDIRECT(ADDRESS(ROW()-1,COLUMN()))+1</f>
        <v>11</v>
      </c>
      <c r="B41" s="32"/>
      <c r="C41" s="32"/>
      <c r="D41" s="32"/>
      <c r="E41" s="28"/>
      <c r="F41" s="32" t="s">
        <v>127</v>
      </c>
      <c r="G41" s="32" t="s">
        <v>125</v>
      </c>
      <c r="H41" s="32" t="s">
        <v>675</v>
      </c>
      <c r="I41" s="13" t="s">
        <v>85</v>
      </c>
      <c r="J41" s="13" t="s">
        <v>82</v>
      </c>
      <c r="K41" s="28"/>
      <c r="L41" s="28"/>
      <c r="M41" s="28"/>
      <c r="N41" s="28"/>
      <c r="O41" s="13" t="s">
        <v>82</v>
      </c>
      <c r="P41" s="4" t="s">
        <v>643</v>
      </c>
    </row>
    <row r="42" spans="1:16" s="35" customFormat="1" ht="43.2" x14ac:dyDescent="0.3">
      <c r="A42" s="37" cm="1">
        <f t="array" aca="1" ref="A42" ca="1">INDIRECT(ADDRESS(ROW()-1,COLUMN()))+1</f>
        <v>12</v>
      </c>
      <c r="B42" s="49" t="s">
        <v>459</v>
      </c>
      <c r="C42" s="49"/>
      <c r="D42" s="49"/>
      <c r="E42" s="28"/>
      <c r="F42" s="32" t="s">
        <v>425</v>
      </c>
      <c r="G42" s="28" t="s">
        <v>101</v>
      </c>
      <c r="H42" s="28"/>
      <c r="I42" s="13" t="s">
        <v>85</v>
      </c>
      <c r="J42" s="13" t="s">
        <v>82</v>
      </c>
      <c r="K42" s="28"/>
      <c r="L42" s="28"/>
      <c r="M42" s="28"/>
      <c r="N42" s="28"/>
      <c r="O42" s="13" t="s">
        <v>82</v>
      </c>
      <c r="P42" s="35" t="s">
        <v>676</v>
      </c>
    </row>
    <row r="43" spans="1:16" ht="28.8" x14ac:dyDescent="0.55000000000000004">
      <c r="A43" s="218" t="s">
        <v>677</v>
      </c>
      <c r="B43" s="218"/>
      <c r="C43" s="218"/>
      <c r="D43" s="218"/>
      <c r="E43" s="218"/>
      <c r="F43" s="218"/>
      <c r="G43" s="218"/>
      <c r="H43" s="218"/>
      <c r="I43" s="218"/>
      <c r="J43" s="218"/>
      <c r="K43" s="218"/>
      <c r="L43" s="218"/>
      <c r="M43" s="218"/>
      <c r="N43" s="218"/>
      <c r="O43" s="64"/>
    </row>
    <row r="44" spans="1:16" ht="75" customHeight="1" x14ac:dyDescent="0.3">
      <c r="A44" s="222" t="s">
        <v>678</v>
      </c>
      <c r="B44" s="222"/>
      <c r="C44" s="222"/>
      <c r="D44" s="222"/>
      <c r="E44" s="222"/>
    </row>
    <row r="45" spans="1:16" ht="75" customHeight="1" x14ac:dyDescent="0.3">
      <c r="A45" s="221" t="s">
        <v>679</v>
      </c>
      <c r="B45" s="225"/>
      <c r="C45" s="220" t="s">
        <v>653</v>
      </c>
      <c r="D45" s="221"/>
      <c r="E45" s="221"/>
    </row>
    <row r="46" spans="1:16" ht="60" customHeight="1" x14ac:dyDescent="0.3">
      <c r="A46" s="226" t="s">
        <v>660</v>
      </c>
      <c r="B46" s="227"/>
      <c r="C46" s="220" t="s">
        <v>680</v>
      </c>
      <c r="D46" s="221"/>
      <c r="E46" s="221"/>
    </row>
    <row r="50" spans="1:14" ht="28.8" x14ac:dyDescent="0.55000000000000004">
      <c r="A50" s="218" t="s">
        <v>681</v>
      </c>
      <c r="B50" s="218"/>
      <c r="C50" s="218"/>
      <c r="D50" s="218"/>
      <c r="E50" s="218"/>
      <c r="F50" s="218"/>
      <c r="G50" s="218"/>
      <c r="H50" s="218"/>
      <c r="I50" s="218"/>
      <c r="J50" s="218"/>
      <c r="K50" s="218"/>
      <c r="L50" s="218"/>
      <c r="M50" s="218"/>
      <c r="N50" s="218"/>
    </row>
    <row r="51" spans="1:14" ht="90" customHeight="1" x14ac:dyDescent="0.3">
      <c r="A51" s="222" t="s">
        <v>682</v>
      </c>
      <c r="B51" s="222"/>
      <c r="C51" s="220" t="s">
        <v>680</v>
      </c>
      <c r="D51" s="221"/>
      <c r="E51" s="221"/>
    </row>
  </sheetData>
  <mergeCells count="17">
    <mergeCell ref="C51:E51"/>
    <mergeCell ref="A51:B51"/>
    <mergeCell ref="A50:N50"/>
    <mergeCell ref="R16:R20"/>
    <mergeCell ref="R21:R22"/>
    <mergeCell ref="A43:N43"/>
    <mergeCell ref="A44:B44"/>
    <mergeCell ref="A45:B45"/>
    <mergeCell ref="A46:B46"/>
    <mergeCell ref="C45:E45"/>
    <mergeCell ref="C46:E46"/>
    <mergeCell ref="C44:E44"/>
    <mergeCell ref="A1:H1"/>
    <mergeCell ref="A10:N10"/>
    <mergeCell ref="A11:N11"/>
    <mergeCell ref="A28:N28"/>
    <mergeCell ref="A29:N29"/>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FF49975E8DE8E439848F855486C4ED8" ma:contentTypeVersion="6" ma:contentTypeDescription="Create a new document." ma:contentTypeScope="" ma:versionID="4a66c32eec0aaf478fc864971694038b">
  <xsd:schema xmlns:xsd="http://www.w3.org/2001/XMLSchema" xmlns:xs="http://www.w3.org/2001/XMLSchema" xmlns:p="http://schemas.microsoft.com/office/2006/metadata/properties" xmlns:ns2="4351ea0b-59b6-4bb2-9550-55596f432c66" xmlns:ns3="abb7c066-0e75-4f9f-a7fd-256dceefbfe6" targetNamespace="http://schemas.microsoft.com/office/2006/metadata/properties" ma:root="true" ma:fieldsID="bf8cde7b276194f53916a583812f55be" ns2:_="" ns3:_="">
    <xsd:import namespace="4351ea0b-59b6-4bb2-9550-55596f432c66"/>
    <xsd:import namespace="abb7c066-0e75-4f9f-a7fd-256dceefbfe6"/>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351ea0b-59b6-4bb2-9550-55596f432c6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bb7c066-0e75-4f9f-a7fd-256dceefbfe6"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59B9E986-BBFB-486B-8572-56630A3A5BE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351ea0b-59b6-4bb2-9550-55596f432c66"/>
    <ds:schemaRef ds:uri="abb7c066-0e75-4f9f-a7fd-256dceefbfe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3AEED86-6BB3-45A5-9A2F-CAF9FA0301CA}">
  <ds:schemaRefs>
    <ds:schemaRef ds:uri="http://schemas.microsoft.com/sharepoint/v3/contenttype/forms"/>
  </ds:schemaRefs>
</ds:datastoreItem>
</file>

<file path=customXml/itemProps3.xml><?xml version="1.0" encoding="utf-8"?>
<ds:datastoreItem xmlns:ds="http://schemas.openxmlformats.org/officeDocument/2006/customXml" ds:itemID="{1E849502-8450-4E96-A1CE-FF56ADE1C7DA}">
  <ds:schemaRefs>
    <ds:schemaRef ds:uri="http://schemas.microsoft.com/office/2006/metadata/properties"/>
    <ds:schemaRef ds:uri="http://schemas.microsoft.com/office/infopath/2007/PartnerControls"/>
  </ds:schemaRefs>
</ds:datastoreItem>
</file>

<file path=docMetadata/LabelInfo.xml><?xml version="1.0" encoding="utf-8"?>
<clbl:labelList xmlns:clbl="http://schemas.microsoft.com/office/2020/mipLabelMetadata">
  <clbl:label id="{0b9b90da-3fe1-457a-b340-f1b67e1024fb}" enabled="0" method="" siteId="{0b9b90da-3fe1-457a-b340-f1b67e1024fb}"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18</vt:i4>
      </vt:variant>
    </vt:vector>
  </HeadingPairs>
  <TitlesOfParts>
    <vt:vector size="27" baseType="lpstr">
      <vt:lpstr>Index</vt:lpstr>
      <vt:lpstr>VersionHistory</vt:lpstr>
      <vt:lpstr>Create</vt:lpstr>
      <vt:lpstr>Update</vt:lpstr>
      <vt:lpstr>GetByID</vt:lpstr>
      <vt:lpstr>Cancel</vt:lpstr>
      <vt:lpstr>Delete</vt:lpstr>
      <vt:lpstr>Search</vt:lpstr>
      <vt:lpstr>OutOfScope</vt:lpstr>
      <vt:lpstr>Create!_Hlk86385617</vt:lpstr>
      <vt:lpstr>OutOfScope!_Toc81484211</vt:lpstr>
      <vt:lpstr>OutOfScope!_Toc81484212</vt:lpstr>
      <vt:lpstr>OutOfScope!_Toc81484213</vt:lpstr>
      <vt:lpstr>OutOfScope!_Toc81484214</vt:lpstr>
      <vt:lpstr>OutOfScope!_Toc81484215</vt:lpstr>
      <vt:lpstr>Create!actualExpiryDate3256</vt:lpstr>
      <vt:lpstr>Create!BorrowerObjectIdentifier</vt:lpstr>
      <vt:lpstr>Create!effective_date</vt:lpstr>
      <vt:lpstr>Create!feePaidByCustomerXID3256</vt:lpstr>
      <vt:lpstr>Create!feePaidByLocationCode3256</vt:lpstr>
      <vt:lpstr>Create!feePaidByProfileType3256</vt:lpstr>
      <vt:lpstr>Create!feePaidByServicingGroupAlias3256</vt:lpstr>
      <vt:lpstr>Create!originalExpiryDate3256</vt:lpstr>
      <vt:lpstr>VersionHistory!percentOfFormulaUpdate</vt:lpstr>
      <vt:lpstr>VersionHistory!percentOfFormulaUsageUpdate</vt:lpstr>
      <vt:lpstr>Create!ProfTypeUpd3465</vt:lpstr>
      <vt:lpstr>Create!useDistributionList3256</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Kumar, Romesh</dc:creator>
  <cp:keywords/>
  <dc:description/>
  <cp:lastModifiedBy>Kumar, Sukhandera</cp:lastModifiedBy>
  <cp:revision/>
  <dcterms:created xsi:type="dcterms:W3CDTF">2015-06-05T18:17:20Z</dcterms:created>
  <dcterms:modified xsi:type="dcterms:W3CDTF">2026-08-17T06:45:34Z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0x0101009FF49975E8DE8E439848F855486C4ED8</vt:lpwstr>
  </property>
</Properties>
</file>